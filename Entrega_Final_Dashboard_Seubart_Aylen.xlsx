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ylenSeubart\Downloads\"/>
    </mc:Choice>
  </mc:AlternateContent>
  <xr:revisionPtr revIDLastSave="0" documentId="13_ncr:1_{EC9587A5-C4E3-44C8-9108-739931BE1ACE}" xr6:coauthVersionLast="47" xr6:coauthVersionMax="47" xr10:uidLastSave="{00000000-0000-0000-0000-000000000000}"/>
  <bookViews>
    <workbookView xWindow="-110" yWindow="-110" windowWidth="19420" windowHeight="10300" tabRatio="817" firstSheet="11" activeTab="11" xr2:uid="{04475701-E8C4-447C-851D-646F39EEF37A}"/>
  </bookViews>
  <sheets>
    <sheet name="Analisis de Rentabilidad" sheetId="6" state="hidden" r:id="rId1"/>
    <sheet name="Analisis de Ventas" sheetId="5" state="hidden" r:id="rId2"/>
    <sheet name="Hechos" sheetId="2" state="hidden" r:id="rId3"/>
    <sheet name="Dim_Clientes" sheetId="4" state="hidden" r:id="rId4"/>
    <sheet name="Dim_Productos" sheetId="3" state="hidden" r:id="rId5"/>
    <sheet name="Auxiliar Dashboard" sheetId="15" state="hidden" r:id="rId6"/>
    <sheet name="Aux_Pais" sheetId="14" state="hidden" r:id="rId7"/>
    <sheet name="Aux_KPI" sheetId="16" state="hidden" r:id="rId8"/>
    <sheet name="Hoja7" sheetId="17" state="hidden" r:id="rId9"/>
    <sheet name="Aux_Mensual" sheetId="12" state="hidden" r:id="rId10"/>
    <sheet name="Aux_Producto" sheetId="13" state="hidden" r:id="rId11"/>
    <sheet name="Dashboard Final" sheetId="11" r:id="rId12"/>
    <sheet name="Registro de Prompts IA" sheetId="18" r:id="rId13"/>
    <sheet name="Resultado Estadístico" sheetId="8" state="hidden" r:id="rId14"/>
    <sheet name="Estadística Descriptiva" sheetId="7" state="hidden" r:id="rId15"/>
    <sheet name="Resumen de Escenarios" sheetId="10" state="hidden" r:id="rId16"/>
    <sheet name="Simulacion" sheetId="9" state="hidden" r:id="rId17"/>
  </sheets>
  <definedNames>
    <definedName name="_xlchart.v1.0" hidden="1">'Auxiliar Dashboard'!$A$2:$A$4</definedName>
    <definedName name="_xlchart.v1.1" hidden="1">'Auxiliar Dashboard'!$B$1</definedName>
    <definedName name="_xlchart.v1.2" hidden="1">'Auxiliar Dashboard'!$B$2:$B$4</definedName>
    <definedName name="_xlchart.v1.3" hidden="1">'Auxiliar Dashboard'!$A$2:$A$4</definedName>
    <definedName name="_xlchart.v1.4" hidden="1">'Auxiliar Dashboard'!$B$1</definedName>
    <definedName name="_xlchart.v1.5" hidden="1">'Auxiliar Dashboard'!$B$2:$B$4</definedName>
    <definedName name="_xlcn.WorksheetConnection_ENTREGACLASE8.xlsxDim_Clientes" hidden="1">Dim_Clientes[]</definedName>
    <definedName name="_xlcn.WorksheetConnection_ENTREGACLASE8.xlsxDim_Productos" hidden="1">Dim_Productos[]</definedName>
    <definedName name="_xlcn.WorksheetConnection_ENTREGACLASE8.xlsxHechos" hidden="1">Hechos[]</definedName>
    <definedName name="DatosExternos_1" localSheetId="2" hidden="1">Hechos!$A$1:$K$1001</definedName>
    <definedName name="DatosExternos_2" localSheetId="4" hidden="1">Dim_Productos!$A$1:$B$13</definedName>
    <definedName name="DatosExternos_3" localSheetId="3" hidden="1">Dim_Clientes!$A$1:$C$952</definedName>
    <definedName name="SegmentaciónDeDatos_Jerarquía_de_fechas">#N/A</definedName>
    <definedName name="SegmentaciónDeDatos_País">#N/A</definedName>
    <definedName name="SegmentaciónDeDatos_Tipo_de_producto">#N/A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</pivotCaches>
  <extLst>
    <ext xmlns:x14="http://schemas.microsoft.com/office/spreadsheetml/2009/9/main" uri="{876F7934-8845-4945-9796-88D515C7AA90}">
      <x14:pivotCaches>
        <pivotCache cacheId="8" r:id="rId26"/>
      </x14:pivotCaches>
    </ext>
    <ext xmlns:x14="http://schemas.microsoft.com/office/spreadsheetml/2009/9/main" uri="{BBE1A952-AA13-448e-AADC-164F8A28A991}">
      <x14:slicerCaches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echos" name="Hechos" connection="WorksheetConnection_ENTREGA CLASE 8.xlsx!Hechos"/>
          <x15:modelTable id="Dim_Productos" name="Dim_Productos" connection="WorksheetConnection_ENTREGA CLASE 8.xlsx!Dim_Productos"/>
          <x15:modelTable id="Dim_Clientes" name="Dim_Clientes" connection="WorksheetConnection_ENTREGA CLASE 8.xlsx!Dim_Clientes"/>
          <x15:modelTable id="Calendario" name="Calendario" connection="Conexión"/>
        </x15:modelTables>
        <x15:modelRelationships>
          <x15:modelRelationship fromTable="Hechos" fromColumn="ID PRODUCTO" toTable="Dim_Productos" toColumn="ID"/>
          <x15:modelRelationship fromTable="Hechos" fromColumn="ID Cliente" toTable="Dim_Clientes" toColumn="ID Cliente"/>
          <x15:modelRelationship fromTable="Hechos" fromColumn="Fecha pedido" toTable="Calendario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1" l="1"/>
  <c r="B3" i="15"/>
  <c r="B4" i="15"/>
  <c r="B2" i="15"/>
  <c r="D3" i="17"/>
  <c r="B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4A61A4-B274-436F-8EEF-4609732F0C42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E7F66BD0-6742-4126-A055-638E1AF3B37C}" keepAlive="1" name="Consulta - Dim_Clientes" description="Conexión a la consulta 'Dim_Clientes' en el libro." type="5" refreshedVersion="8" background="1" saveData="1">
    <dbPr connection="Provider=Microsoft.Mashup.OleDb.1;Data Source=$Workbook$;Location=Dim_Clientes;Extended Properties=&quot;&quot;" command="SELECT * FROM [Dim_Clientes]"/>
  </connection>
  <connection id="3" xr16:uid="{D6CE3E35-BE59-4127-B831-2132FFF0B594}" keepAlive="1" name="Consulta - Dim_Productos" description="Conexión a la consulta 'Dim_Productos' en el libro." type="5" refreshedVersion="8" background="1" saveData="1">
    <dbPr connection="Provider=Microsoft.Mashup.OleDb.1;Data Source=$Workbook$;Location=Dim_Productos;Extended Properties=&quot;&quot;" command="SELECT * FROM [Dim_Productos]"/>
  </connection>
  <connection id="4" xr16:uid="{821942A6-6FB8-4032-BC71-A6FD185A9E30}" keepAlive="1" name="Consulta - Hechos" description="Conexión a la consulta 'Hechos' en el libro." type="5" refreshedVersion="8" background="1" saveData="1">
    <dbPr connection="Provider=Microsoft.Mashup.OleDb.1;Data Source=$Workbook$;Location=Hechos;Extended Properties=&quot;&quot;" command="SELECT * FROM [Hechos]"/>
  </connection>
  <connection id="5" xr16:uid="{6C86CD9E-1B6A-4482-AE87-38FE357F5BD6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F106BDF0-4E96-4DC6-A5A0-047CA60F6610}" name="WorksheetConnection_ENTREGA CLASE 8.xlsx!Dim_Clientes" type="102" refreshedVersion="8" minRefreshableVersion="5">
    <extLst>
      <ext xmlns:x15="http://schemas.microsoft.com/office/spreadsheetml/2010/11/main" uri="{DE250136-89BD-433C-8126-D09CA5730AF9}">
        <x15:connection id="Dim_Clientes">
          <x15:rangePr sourceName="_xlcn.WorksheetConnection_ENTREGACLASE8.xlsxDim_Clientes"/>
        </x15:connection>
      </ext>
    </extLst>
  </connection>
  <connection id="7" xr16:uid="{71855CE1-0E87-4199-AE3F-FFAA90935BD4}" name="WorksheetConnection_ENTREGA CLASE 8.xlsx!Dim_Productos" type="102" refreshedVersion="8" minRefreshableVersion="5">
    <extLst>
      <ext xmlns:x15="http://schemas.microsoft.com/office/spreadsheetml/2010/11/main" uri="{DE250136-89BD-433C-8126-D09CA5730AF9}">
        <x15:connection id="Dim_Productos">
          <x15:rangePr sourceName="_xlcn.WorksheetConnection_ENTREGACLASE8.xlsxDim_Productos"/>
        </x15:connection>
      </ext>
    </extLst>
  </connection>
  <connection id="8" xr16:uid="{20BCF2E4-DCFD-4D90-B922-EA10D69F6129}" name="WorksheetConnection_ENTREGA CLASE 8.xlsx!Hechos" type="102" refreshedVersion="8" minRefreshableVersion="5">
    <extLst>
      <ext xmlns:x15="http://schemas.microsoft.com/office/spreadsheetml/2010/11/main" uri="{DE250136-89BD-433C-8126-D09CA5730AF9}">
        <x15:connection id="Hechos">
          <x15:rangePr sourceName="_xlcn.WorksheetConnection_ENTREGACLASE8.xlsxHechos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im_Productos].[Tipo de producto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<sst xmlns="http://schemas.openxmlformats.org/spreadsheetml/2006/main" count="6109" uniqueCount="1273">
  <si>
    <t>ID Cliente</t>
  </si>
  <si>
    <t>ID PRODUCTO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</si>
  <si>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</si>
  <si>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</si>
  <si>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</si>
  <si>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</si>
  <si>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</si>
  <si>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</si>
  <si>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</si>
  <si>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Importe venta total</t>
  </si>
  <si>
    <t>Importe Coste total</t>
  </si>
  <si>
    <t>C2421</t>
  </si>
  <si>
    <t>Crítica</t>
  </si>
  <si>
    <t>C1908</t>
  </si>
  <si>
    <t>Alta</t>
  </si>
  <si>
    <t>C7652</t>
  </si>
  <si>
    <t>C2326</t>
  </si>
  <si>
    <t>Baja</t>
  </si>
  <si>
    <t>C5305</t>
  </si>
  <si>
    <t>Media</t>
  </si>
  <si>
    <t>C5168</t>
  </si>
  <si>
    <t>C9197</t>
  </si>
  <si>
    <t>C2876</t>
  </si>
  <si>
    <t>C8394</t>
  </si>
  <si>
    <t>C8141</t>
  </si>
  <si>
    <t>C3212</t>
  </si>
  <si>
    <t>C8904</t>
  </si>
  <si>
    <t>C5218</t>
  </si>
  <si>
    <t>C4358</t>
  </si>
  <si>
    <t>C1229</t>
  </si>
  <si>
    <t>C4942</t>
  </si>
  <si>
    <t>C7310</t>
  </si>
  <si>
    <t>C5348</t>
  </si>
  <si>
    <t>C5778</t>
  </si>
  <si>
    <t>C2519</t>
  </si>
  <si>
    <t>C8199</t>
  </si>
  <si>
    <t>C4645</t>
  </si>
  <si>
    <t>C1390</t>
  </si>
  <si>
    <t>C4168</t>
  </si>
  <si>
    <t>C1418</t>
  </si>
  <si>
    <t>C4779</t>
  </si>
  <si>
    <t>C8598</t>
  </si>
  <si>
    <t>C3420</t>
  </si>
  <si>
    <t>C7497</t>
  </si>
  <si>
    <t>C8282</t>
  </si>
  <si>
    <t>C2932</t>
  </si>
  <si>
    <t>C2806</t>
  </si>
  <si>
    <t>C1968</t>
  </si>
  <si>
    <t>C8684</t>
  </si>
  <si>
    <t>C4923</t>
  </si>
  <si>
    <t>C4857</t>
  </si>
  <si>
    <t>C5362</t>
  </si>
  <si>
    <t>C8517</t>
  </si>
  <si>
    <t>C8103</t>
  </si>
  <si>
    <t>C3105</t>
  </si>
  <si>
    <t>C2211</t>
  </si>
  <si>
    <t>C1312</t>
  </si>
  <si>
    <t>C6003</t>
  </si>
  <si>
    <t>C9080</t>
  </si>
  <si>
    <t>C4045</t>
  </si>
  <si>
    <t>C7601</t>
  </si>
  <si>
    <t>C1154</t>
  </si>
  <si>
    <t>C7315</t>
  </si>
  <si>
    <t>C4396</t>
  </si>
  <si>
    <t>C2914</t>
  </si>
  <si>
    <t>C5088</t>
  </si>
  <si>
    <t>C9340</t>
  </si>
  <si>
    <t>C5795</t>
  </si>
  <si>
    <t>C7783</t>
  </si>
  <si>
    <t>C2335</t>
  </si>
  <si>
    <t>C8686</t>
  </si>
  <si>
    <t>C1774</t>
  </si>
  <si>
    <t>C6740</t>
  </si>
  <si>
    <t>C4428</t>
  </si>
  <si>
    <t>C7885</t>
  </si>
  <si>
    <t>C3863</t>
  </si>
  <si>
    <t>C2314</t>
  </si>
  <si>
    <t>C4896</t>
  </si>
  <si>
    <t>C9468</t>
  </si>
  <si>
    <t>C5594</t>
  </si>
  <si>
    <t>C6039</t>
  </si>
  <si>
    <t>C6272</t>
  </si>
  <si>
    <t>C6967</t>
  </si>
  <si>
    <t>C9498</t>
  </si>
  <si>
    <t>C2444</t>
  </si>
  <si>
    <t>C2087</t>
  </si>
  <si>
    <t>C2912</t>
  </si>
  <si>
    <t>C9106</t>
  </si>
  <si>
    <t>C3061</t>
  </si>
  <si>
    <t>C3872</t>
  </si>
  <si>
    <t>C8834</t>
  </si>
  <si>
    <t>C6950</t>
  </si>
  <si>
    <t>C1422</t>
  </si>
  <si>
    <t>C5158</t>
  </si>
  <si>
    <t>C9266</t>
  </si>
  <si>
    <t>C5561</t>
  </si>
  <si>
    <t>C9058</t>
  </si>
  <si>
    <t>C8476</t>
  </si>
  <si>
    <t>C6738</t>
  </si>
  <si>
    <t>C7470</t>
  </si>
  <si>
    <t>C1499</t>
  </si>
  <si>
    <t>C7358</t>
  </si>
  <si>
    <t>C3782</t>
  </si>
  <si>
    <t>C6208</t>
  </si>
  <si>
    <t>C8278</t>
  </si>
  <si>
    <t>C4335</t>
  </si>
  <si>
    <t>C2928</t>
  </si>
  <si>
    <t>C4307</t>
  </si>
  <si>
    <t>C4925</t>
  </si>
  <si>
    <t>C1939</t>
  </si>
  <si>
    <t>C6709</t>
  </si>
  <si>
    <t>C4298</t>
  </si>
  <si>
    <t>C2971</t>
  </si>
  <si>
    <t>C2700</t>
  </si>
  <si>
    <t>C8654</t>
  </si>
  <si>
    <t>C8711</t>
  </si>
  <si>
    <t>C4949</t>
  </si>
  <si>
    <t>C9149</t>
  </si>
  <si>
    <t>C2297</t>
  </si>
  <si>
    <t>C2079</t>
  </si>
  <si>
    <t>C4389</t>
  </si>
  <si>
    <t>C5819</t>
  </si>
  <si>
    <t>C8167</t>
  </si>
  <si>
    <t>C4933</t>
  </si>
  <si>
    <t>C3822</t>
  </si>
  <si>
    <t>C4239</t>
  </si>
  <si>
    <t>C1796</t>
  </si>
  <si>
    <t>C1804</t>
  </si>
  <si>
    <t>C5780</t>
  </si>
  <si>
    <t>C6943</t>
  </si>
  <si>
    <t>C3715</t>
  </si>
  <si>
    <t>C4222</t>
  </si>
  <si>
    <t>C3793</t>
  </si>
  <si>
    <t>C7459</t>
  </si>
  <si>
    <t>C7456</t>
  </si>
  <si>
    <t>C5720</t>
  </si>
  <si>
    <t>C9394</t>
  </si>
  <si>
    <t>C8321</t>
  </si>
  <si>
    <t>C6549</t>
  </si>
  <si>
    <t>C8829</t>
  </si>
  <si>
    <t>C7113</t>
  </si>
  <si>
    <t>C3059</t>
  </si>
  <si>
    <t>C3527</t>
  </si>
  <si>
    <t>C7079</t>
  </si>
  <si>
    <t>C8482</t>
  </si>
  <si>
    <t>C3205</t>
  </si>
  <si>
    <t>C9920</t>
  </si>
  <si>
    <t>C3003</t>
  </si>
  <si>
    <t>C7032</t>
  </si>
  <si>
    <t>C2289</t>
  </si>
  <si>
    <t>C1260</t>
  </si>
  <si>
    <t>C8131</t>
  </si>
  <si>
    <t>C5294</t>
  </si>
  <si>
    <t>C2844</t>
  </si>
  <si>
    <t>C7077</t>
  </si>
  <si>
    <t>C6994</t>
  </si>
  <si>
    <t>C5799</t>
  </si>
  <si>
    <t>C7399</t>
  </si>
  <si>
    <t>C2903</t>
  </si>
  <si>
    <t>C2125</t>
  </si>
  <si>
    <t>C2080</t>
  </si>
  <si>
    <t>C9487</t>
  </si>
  <si>
    <t>C9270</t>
  </si>
  <si>
    <t>C5053</t>
  </si>
  <si>
    <t>C5665</t>
  </si>
  <si>
    <t>C2639</t>
  </si>
  <si>
    <t>C1708</t>
  </si>
  <si>
    <t>C9311</t>
  </si>
  <si>
    <t>C1089</t>
  </si>
  <si>
    <t>C7385</t>
  </si>
  <si>
    <t>C9749</t>
  </si>
  <si>
    <t>C8429</t>
  </si>
  <si>
    <t>C8880</t>
  </si>
  <si>
    <t>C8258</t>
  </si>
  <si>
    <t>C8924</t>
  </si>
  <si>
    <t>C4939</t>
  </si>
  <si>
    <t>C4571</t>
  </si>
  <si>
    <t>C7789</t>
  </si>
  <si>
    <t>C1764</t>
  </si>
  <si>
    <t>C1373</t>
  </si>
  <si>
    <t>C8693</t>
  </si>
  <si>
    <t>C8508</t>
  </si>
  <si>
    <t>C8801</t>
  </si>
  <si>
    <t>C9260</t>
  </si>
  <si>
    <t>C3947</t>
  </si>
  <si>
    <t>C5565</t>
  </si>
  <si>
    <t>C4134</t>
  </si>
  <si>
    <t>C7355</t>
  </si>
  <si>
    <t>C5637</t>
  </si>
  <si>
    <t>C3589</t>
  </si>
  <si>
    <t>C6524</t>
  </si>
  <si>
    <t>C6958</t>
  </si>
  <si>
    <t>C7110</t>
  </si>
  <si>
    <t>C5403</t>
  </si>
  <si>
    <t>C9962</t>
  </si>
  <si>
    <t>C7116</t>
  </si>
  <si>
    <t>C1896</t>
  </si>
  <si>
    <t>C4538</t>
  </si>
  <si>
    <t>C7979</t>
  </si>
  <si>
    <t>C1361</t>
  </si>
  <si>
    <t>C1528</t>
  </si>
  <si>
    <t>C3526</t>
  </si>
  <si>
    <t>C3108</t>
  </si>
  <si>
    <t>C1225</t>
  </si>
  <si>
    <t>C8535</t>
  </si>
  <si>
    <t>C4899</t>
  </si>
  <si>
    <t>C6878</t>
  </si>
  <si>
    <t>C9238</t>
  </si>
  <si>
    <t>C7450</t>
  </si>
  <si>
    <t>C2186</t>
  </si>
  <si>
    <t>C3821</t>
  </si>
  <si>
    <t>C9933</t>
  </si>
  <si>
    <t>C9804</t>
  </si>
  <si>
    <t>C6920</t>
  </si>
  <si>
    <t>C5468</t>
  </si>
  <si>
    <t>C5839</t>
  </si>
  <si>
    <t>C9128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</si>
  <si>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</si>
  <si>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</si>
  <si>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</si>
  <si>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</si>
  <si>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</si>
  <si>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</si>
  <si>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</si>
  <si>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</si>
  <si>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</si>
  <si>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C9949</t>
  </si>
  <si>
    <t>C8144</t>
  </si>
  <si>
    <t>C5232</t>
  </si>
  <si>
    <t>C6946</t>
  </si>
  <si>
    <t>C1726</t>
  </si>
  <si>
    <t>C1212</t>
  </si>
  <si>
    <t>C8748</t>
  </si>
  <si>
    <t>C5882</t>
  </si>
  <si>
    <t>C1864</t>
  </si>
  <si>
    <t>C2148</t>
  </si>
  <si>
    <t>C3890</t>
  </si>
  <si>
    <t>C9451</t>
  </si>
  <si>
    <t>C3894</t>
  </si>
  <si>
    <t>C4484</t>
  </si>
  <si>
    <t>C2190</t>
  </si>
  <si>
    <t>C1347</t>
  </si>
  <si>
    <t>C1750</t>
  </si>
  <si>
    <t>C6179</t>
  </si>
  <si>
    <t>C4617</t>
  </si>
  <si>
    <t>C5754</t>
  </si>
  <si>
    <t>C5479</t>
  </si>
  <si>
    <t>C9388</t>
  </si>
  <si>
    <t>C1277</t>
  </si>
  <si>
    <t>C1647</t>
  </si>
  <si>
    <t>C9201</t>
  </si>
  <si>
    <t>C5347</t>
  </si>
  <si>
    <t>C3695</t>
  </si>
  <si>
    <t>C9556</t>
  </si>
  <si>
    <t>C6448</t>
  </si>
  <si>
    <t>C5590</t>
  </si>
  <si>
    <t>C5014</t>
  </si>
  <si>
    <t>C8751</t>
  </si>
  <si>
    <t>C3646</t>
  </si>
  <si>
    <t>C8933</t>
  </si>
  <si>
    <t>C8551</t>
  </si>
  <si>
    <t>C9641</t>
  </si>
  <si>
    <t>C2047</t>
  </si>
  <si>
    <t>C7816</t>
  </si>
  <si>
    <t>C4699</t>
  </si>
  <si>
    <t>C2649</t>
  </si>
  <si>
    <t>C3324</t>
  </si>
  <si>
    <t>C4582</t>
  </si>
  <si>
    <t>C4988</t>
  </si>
  <si>
    <t>C8307</t>
  </si>
  <si>
    <t>C1008</t>
  </si>
  <si>
    <t>C2951</t>
  </si>
  <si>
    <t>C2146</t>
  </si>
  <si>
    <t>C6632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</si>
  <si>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</si>
  <si>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</si>
  <si>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</si>
  <si>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</si>
  <si>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</si>
  <si>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</si>
  <si>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</si>
  <si>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</si>
  <si>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</si>
  <si>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</si>
  <si>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</si>
  <si>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C6447</t>
  </si>
  <si>
    <t>C4157</t>
  </si>
  <si>
    <t>C8936</t>
  </si>
  <si>
    <t>C6137</t>
  </si>
  <si>
    <t>C1498</t>
  </si>
  <si>
    <t>C1454</t>
  </si>
  <si>
    <t>C8648</t>
  </si>
  <si>
    <t>C8423</t>
  </si>
  <si>
    <t>C9328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</si>
  <si>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</si>
  <si>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</si>
  <si>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</si>
  <si>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</si>
  <si>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</si>
  <si>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</si>
  <si>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</si>
  <si>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</si>
  <si>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</si>
  <si>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C2120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</si>
  <si>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</si>
  <si>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</si>
  <si>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</si>
  <si>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</si>
  <si>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</si>
  <si>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</si>
  <si>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</si>
  <si>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</si>
  <si>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</si>
  <si>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</si>
  <si>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</si>
  <si>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</si>
  <si>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</si>
  <si>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</si>
  <si>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</si>
  <si>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</si>
  <si>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</si>
  <si>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</si>
  <si>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</si>
  <si>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</si>
  <si>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</si>
  <si>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</si>
  <si>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</si>
  <si>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</si>
  <si>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</si>
  <si>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</si>
  <si>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C1411</t>
  </si>
  <si>
    <t>C5688</t>
  </si>
  <si>
    <t>C1879</t>
  </si>
  <si>
    <t>C8655</t>
  </si>
  <si>
    <t>C9393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</si>
  <si>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</si>
  <si>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</si>
  <si>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</si>
  <si>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</si>
  <si>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</si>
  <si>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</si>
  <si>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</si>
  <si>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</si>
  <si>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</si>
  <si>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</si>
  <si>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</si>
  <si>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</si>
  <si>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</si>
  <si>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</si>
  <si>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</si>
  <si>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</si>
  <si>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</si>
  <si>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</si>
  <si>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</si>
  <si>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</si>
  <si>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</si>
  <si>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</si>
  <si>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</si>
  <si>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</si>
  <si>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</si>
  <si>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</si>
  <si>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</si>
  <si>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</si>
  <si>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</si>
  <si>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</si>
  <si>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</si>
  <si>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</si>
  <si>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</si>
  <si>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</si>
  <si>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</si>
  <si>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</si>
  <si>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</si>
  <si>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</si>
  <si>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</si>
  <si>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</si>
  <si>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</si>
  <si>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</si>
  <si>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</si>
  <si>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</si>
  <si>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</si>
  <si>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</si>
  <si>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</si>
  <si>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</si>
  <si>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</si>
  <si>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</si>
  <si>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</si>
  <si>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</si>
  <si>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</si>
  <si>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</si>
  <si>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</si>
  <si>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</si>
  <si>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</si>
  <si>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</si>
  <si>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</si>
  <si>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</si>
  <si>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</si>
  <si>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</si>
  <si>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</si>
  <si>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</si>
  <si>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</si>
  <si>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</si>
  <si>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</si>
  <si>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</si>
  <si>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</si>
  <si>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</si>
  <si>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</si>
  <si>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</si>
  <si>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</si>
  <si>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</si>
  <si>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</si>
  <si>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</si>
  <si>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</si>
  <si>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</si>
  <si>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</si>
  <si>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</si>
  <si>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</si>
  <si>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</si>
  <si>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</si>
  <si>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</si>
  <si>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</si>
  <si>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</si>
  <si>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</si>
  <si>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</si>
  <si>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</si>
  <si>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</si>
  <si>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</si>
  <si>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C2328</t>
  </si>
  <si>
    <t>C9143</t>
  </si>
  <si>
    <t>C6796</t>
  </si>
  <si>
    <t>C7067</t>
  </si>
  <si>
    <t>C8942</t>
  </si>
  <si>
    <t>C3109</t>
  </si>
  <si>
    <t>C3458</t>
  </si>
  <si>
    <t>C6585</t>
  </si>
  <si>
    <t>C5285</t>
  </si>
  <si>
    <t>C2060</t>
  </si>
  <si>
    <t>C4614</t>
  </si>
  <si>
    <t>C3353</t>
  </si>
  <si>
    <t>C2887</t>
  </si>
  <si>
    <t>C8529</t>
  </si>
  <si>
    <t>C3795</t>
  </si>
  <si>
    <t>C4279</t>
  </si>
  <si>
    <t>C7045</t>
  </si>
  <si>
    <t>C3531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</si>
  <si>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</si>
  <si>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</si>
  <si>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</si>
  <si>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</si>
  <si>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</si>
  <si>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</si>
  <si>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</si>
  <si>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</si>
  <si>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</si>
  <si>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</si>
  <si>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</si>
  <si>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</si>
  <si>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</si>
  <si>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</si>
  <si>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</si>
  <si>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</si>
  <si>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</si>
  <si>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</si>
  <si>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</si>
  <si>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</si>
  <si>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</si>
  <si>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</si>
  <si>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</si>
  <si>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C8776</t>
  </si>
  <si>
    <t>C4631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</si>
  <si>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</si>
  <si>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</si>
  <si>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</si>
  <si>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</si>
  <si>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</si>
  <si>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</si>
  <si>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</si>
  <si>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</si>
  <si>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C2830</t>
  </si>
  <si>
    <t>C6323</t>
  </si>
  <si>
    <t>C9539</t>
  </si>
  <si>
    <t>C3728</t>
  </si>
  <si>
    <t>C3344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</si>
  <si>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</si>
  <si>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</si>
  <si>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</si>
  <si>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</si>
  <si>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</si>
  <si>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</si>
  <si>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</si>
  <si>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</si>
  <si>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</si>
  <si>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</si>
  <si>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</si>
  <si>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</si>
  <si>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</si>
  <si>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</si>
  <si>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</si>
  <si>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</si>
  <si>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</si>
  <si>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</si>
  <si>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</si>
  <si>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</si>
  <si>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</si>
  <si>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</si>
  <si>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</si>
  <si>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</si>
  <si>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</si>
  <si>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</si>
  <si>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</si>
  <si>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</si>
  <si>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</si>
  <si>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</si>
  <si>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</si>
  <si>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</si>
  <si>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</si>
  <si>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</si>
  <si>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</si>
  <si>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</si>
  <si>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C1203</t>
  </si>
  <si>
    <t>C9596</t>
  </si>
  <si>
    <t>C8124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</si>
  <si>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</si>
  <si>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</si>
  <si>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</si>
  <si>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</si>
  <si>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</si>
  <si>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</si>
  <si>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</si>
  <si>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</si>
  <si>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</si>
  <si>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</si>
  <si>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</si>
  <si>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</si>
  <si>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C7021</t>
  </si>
  <si>
    <t>C9115</t>
  </si>
  <si>
    <t>C4226</t>
  </si>
  <si>
    <t>C1885</t>
  </si>
  <si>
    <t>C1490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</si>
  <si>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</si>
  <si>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</si>
  <si>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</si>
  <si>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</si>
  <si>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</si>
  <si>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</si>
  <si>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</si>
  <si>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</si>
  <si>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</si>
  <si>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</si>
  <si>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</si>
  <si>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</si>
  <si>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</si>
  <si>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</si>
  <si>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</si>
  <si>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</si>
  <si>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</si>
  <si>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</si>
  <si>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</si>
  <si>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</si>
  <si>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</si>
  <si>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</si>
  <si>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</si>
  <si>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</si>
  <si>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</si>
  <si>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</si>
  <si>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</si>
  <si>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</si>
  <si>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</si>
  <si>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</si>
  <si>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</si>
  <si>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</si>
  <si>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</si>
  <si>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</si>
  <si>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</si>
  <si>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</si>
  <si>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</si>
  <si>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</si>
  <si>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</si>
  <si>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</si>
  <si>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</si>
  <si>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</si>
  <si>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</si>
  <si>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</si>
  <si>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</si>
  <si>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</si>
  <si>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</si>
  <si>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</si>
  <si>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</si>
  <si>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</si>
  <si>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</si>
  <si>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</si>
  <si>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</si>
  <si>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</si>
  <si>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</si>
  <si>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</si>
  <si>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</si>
  <si>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</si>
  <si>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</si>
  <si>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</si>
  <si>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</si>
  <si>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</si>
  <si>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</si>
  <si>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</si>
  <si>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</si>
  <si>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</si>
  <si>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</si>
  <si>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</si>
  <si>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</si>
  <si>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</si>
  <si>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</si>
  <si>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</si>
  <si>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</si>
  <si>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</si>
  <si>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C7080</t>
  </si>
  <si>
    <t>C3277</t>
  </si>
  <si>
    <t>C4250</t>
  </si>
  <si>
    <t>C6594</t>
  </si>
  <si>
    <t>C3106</t>
  </si>
  <si>
    <t>C5287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</si>
  <si>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</si>
  <si>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</si>
  <si>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</si>
  <si>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</si>
  <si>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</si>
  <si>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</si>
  <si>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</si>
  <si>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</si>
  <si>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</si>
  <si>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</si>
  <si>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</si>
  <si>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</si>
  <si>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</si>
  <si>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</si>
  <si>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</si>
  <si>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</si>
  <si>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</si>
  <si>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</si>
  <si>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</si>
  <si>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</si>
  <si>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</si>
  <si>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</si>
  <si>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</si>
  <si>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</si>
  <si>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</si>
  <si>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</si>
  <si>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</si>
  <si>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</si>
  <si>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</si>
  <si>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</si>
  <si>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</si>
  <si>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</si>
  <si>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</si>
  <si>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</si>
  <si>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</si>
  <si>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</si>
  <si>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</si>
  <si>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</si>
  <si>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</si>
  <si>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</si>
  <si>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</si>
  <si>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</si>
  <si>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</si>
  <si>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</si>
  <si>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</si>
  <si>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</si>
  <si>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</si>
  <si>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</si>
  <si>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</si>
  <si>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</si>
  <si>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</si>
  <si>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</si>
  <si>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</si>
  <si>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</si>
  <si>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</si>
  <si>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</si>
  <si>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</si>
  <si>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</si>
  <si>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</si>
  <si>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</si>
  <si>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</si>
  <si>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</si>
  <si>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</si>
  <si>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</si>
  <si>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</si>
  <si>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</si>
  <si>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</si>
  <si>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</si>
  <si>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</si>
  <si>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</si>
  <si>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</si>
  <si>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</si>
  <si>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</si>
  <si>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</si>
  <si>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</si>
  <si>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</si>
  <si>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</si>
  <si>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</si>
  <si>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</si>
  <si>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</si>
  <si>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</si>
  <si>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</si>
  <si>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</si>
  <si>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</si>
  <si>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</si>
  <si>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</si>
  <si>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</si>
  <si>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</si>
  <si>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</si>
  <si>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</si>
  <si>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</si>
  <si>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</si>
  <si>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</si>
  <si>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</si>
  <si>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</si>
  <si>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</si>
  <si>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</si>
  <si>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</si>
  <si>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</si>
  <si>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</si>
  <si>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</si>
  <si>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</si>
  <si>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</si>
  <si>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</si>
  <si>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</si>
  <si>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</si>
  <si>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</si>
  <si>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</si>
  <si>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</si>
  <si>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</si>
  <si>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</si>
  <si>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</si>
  <si>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</si>
  <si>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</si>
  <si>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</si>
  <si>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</si>
  <si>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</si>
  <si>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</si>
  <si>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</si>
  <si>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</si>
  <si>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</si>
  <si>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</si>
  <si>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</si>
  <si>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</si>
  <si>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</si>
  <si>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</si>
  <si>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</si>
  <si>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</si>
  <si>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</si>
  <si>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</si>
  <si>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</si>
  <si>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</si>
  <si>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</si>
  <si>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</si>
  <si>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</si>
  <si>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</si>
  <si>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</si>
  <si>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</si>
  <si>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</si>
  <si>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</si>
  <si>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</si>
  <si>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</si>
  <si>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</si>
  <si>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</si>
  <si>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</si>
  <si>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</si>
  <si>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</si>
  <si>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</si>
  <si>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</si>
  <si>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</si>
  <si>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</si>
  <si>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</si>
  <si>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</si>
  <si>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</si>
  <si>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</si>
  <si>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</si>
  <si>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</si>
  <si>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</si>
  <si>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</si>
  <si>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</si>
  <si>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</si>
  <si>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</si>
  <si>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</si>
  <si>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</si>
  <si>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</si>
  <si>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</si>
  <si>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</si>
  <si>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</si>
  <si>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</si>
  <si>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</si>
  <si>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</si>
  <si>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</si>
  <si>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</si>
  <si>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</si>
  <si>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</si>
  <si>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</si>
  <si>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</si>
  <si>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</si>
  <si>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</si>
  <si>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</si>
  <si>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</si>
  <si>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</si>
  <si>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</si>
  <si>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</si>
  <si>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</si>
  <si>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</si>
  <si>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</si>
  <si>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</si>
  <si>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</si>
  <si>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</si>
  <si>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</si>
  <si>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</si>
  <si>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</si>
  <si>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</si>
  <si>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</si>
  <si>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</si>
  <si>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</si>
  <si>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</si>
  <si>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</si>
  <si>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</si>
  <si>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</si>
  <si>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</si>
  <si>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</si>
  <si>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</si>
  <si>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</si>
  <si>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</si>
  <si>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</si>
  <si>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</si>
  <si>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</si>
  <si>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</si>
  <si>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</si>
  <si>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</si>
  <si>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</si>
  <si>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</si>
  <si>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</si>
  <si>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</si>
  <si>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</si>
  <si>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</si>
  <si>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</si>
  <si>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</si>
  <si>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</si>
  <si>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</si>
  <si>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</si>
  <si>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</si>
  <si>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</si>
  <si>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</si>
  <si>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</si>
  <si>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</si>
  <si>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</si>
  <si>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</si>
  <si>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</si>
  <si>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</si>
  <si>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</si>
  <si>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</si>
  <si>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</si>
  <si>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</si>
  <si>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</si>
  <si>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</si>
  <si>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</si>
  <si>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</si>
  <si>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</si>
  <si>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</si>
  <si>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</si>
  <si>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</si>
  <si>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</si>
  <si>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</si>
  <si>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</si>
  <si>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</si>
  <si>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</si>
  <si>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</si>
  <si>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</si>
  <si>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</si>
  <si>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</si>
  <si>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</si>
  <si>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</si>
  <si>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</si>
  <si>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</si>
  <si>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</si>
  <si>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</si>
  <si>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</si>
  <si>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</si>
  <si>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</si>
  <si>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</si>
  <si>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</si>
  <si>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</si>
  <si>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</si>
  <si>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</si>
  <si>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</si>
  <si>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</si>
  <si>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</si>
  <si>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</si>
  <si>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</si>
  <si>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</si>
  <si>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</si>
  <si>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</si>
  <si>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</si>
  <si>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</si>
  <si>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</si>
  <si>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</si>
  <si>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</si>
  <si>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</si>
  <si>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</si>
  <si>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</si>
  <si>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</si>
  <si>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</si>
  <si>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</si>
  <si>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</si>
  <si>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</si>
  <si>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</si>
  <si>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</si>
  <si>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</si>
  <si>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</si>
  <si>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</si>
  <si>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</si>
  <si>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</si>
  <si>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</si>
  <si>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</si>
  <si>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</si>
  <si>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</si>
  <si>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</si>
  <si>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</si>
  <si>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</si>
  <si>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</si>
  <si>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</si>
  <si>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</si>
  <si>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</si>
  <si>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</si>
  <si>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</si>
  <si>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</si>
  <si>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</si>
  <si>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</si>
  <si>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</si>
  <si>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</si>
  <si>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</si>
  <si>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</si>
  <si>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</si>
  <si>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</si>
  <si>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</si>
  <si>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</si>
  <si>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</si>
  <si>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</si>
  <si>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</si>
  <si>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</si>
  <si>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</si>
  <si>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</si>
  <si>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</si>
  <si>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</si>
  <si>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</si>
  <si>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</si>
  <si>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</si>
  <si>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</si>
  <si>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</si>
  <si>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</si>
  <si>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</si>
  <si>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</si>
  <si>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</si>
  <si>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</si>
  <si>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</si>
  <si>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</si>
  <si>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</si>
  <si>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</si>
  <si>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</si>
  <si>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</si>
  <si>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</si>
  <si>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</si>
  <si>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</si>
  <si>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</si>
  <si>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</si>
  <si>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ID</t>
  </si>
  <si>
    <t>Tipo de producto</t>
  </si>
  <si>
    <t>PRO 1</t>
  </si>
  <si>
    <t>Snacks</t>
  </si>
  <si>
    <t>PRO 2</t>
  </si>
  <si>
    <t>Cárnicos</t>
  </si>
  <si>
    <t>PRO 3</t>
  </si>
  <si>
    <t>Cereales</t>
  </si>
  <si>
    <t>PRO 4</t>
  </si>
  <si>
    <t>Frutas</t>
  </si>
  <si>
    <t>PRO 5</t>
  </si>
  <si>
    <t>Alimento infantil</t>
  </si>
  <si>
    <t>PRO 6</t>
  </si>
  <si>
    <t>Bebida</t>
  </si>
  <si>
    <t>PRO 7</t>
  </si>
  <si>
    <t>Cosméticos</t>
  </si>
  <si>
    <t>PRO 8</t>
  </si>
  <si>
    <t>Cuidado personal</t>
  </si>
  <si>
    <t>PRO 9</t>
  </si>
  <si>
    <t>Material de oficina</t>
  </si>
  <si>
    <t>PRO 10</t>
  </si>
  <si>
    <t>Verduras</t>
  </si>
  <si>
    <t>PRO 11</t>
  </si>
  <si>
    <t>Ropa</t>
  </si>
  <si>
    <t>PRO 12</t>
  </si>
  <si>
    <t>Doméstico</t>
  </si>
  <si>
    <t>Zona</t>
  </si>
  <si>
    <t>País</t>
  </si>
  <si>
    <t>Europa</t>
  </si>
  <si>
    <t>United Kingdom</t>
  </si>
  <si>
    <t>Malta</t>
  </si>
  <si>
    <t>Australia y Oceanía</t>
  </si>
  <si>
    <t>Marshall Islands</t>
  </si>
  <si>
    <t>África</t>
  </si>
  <si>
    <t>Iran</t>
  </si>
  <si>
    <t>Centroamérica y Caribe</t>
  </si>
  <si>
    <t>Guatemala</t>
  </si>
  <si>
    <t>Grenada</t>
  </si>
  <si>
    <t>Fiji</t>
  </si>
  <si>
    <t xml:space="preserve">Tunisia </t>
  </si>
  <si>
    <t>Australia</t>
  </si>
  <si>
    <t>Norteamérica</t>
  </si>
  <si>
    <t>Greenland</t>
  </si>
  <si>
    <t>Angola</t>
  </si>
  <si>
    <t>Zambia</t>
  </si>
  <si>
    <t>Kenya</t>
  </si>
  <si>
    <t>Azerbaijan</t>
  </si>
  <si>
    <t>Mozambique</t>
  </si>
  <si>
    <t>Federated States of Micronesia</t>
  </si>
  <si>
    <t>Dominican Republic</t>
  </si>
  <si>
    <t>Libya</t>
  </si>
  <si>
    <t>Asia</t>
  </si>
  <si>
    <t>Uzbekistan</t>
  </si>
  <si>
    <t>Sri Lanka</t>
  </si>
  <si>
    <t>The Gambia</t>
  </si>
  <si>
    <t>Myanmar</t>
  </si>
  <si>
    <t>Bhutan</t>
  </si>
  <si>
    <t>Mali</t>
  </si>
  <si>
    <t>Burundi</t>
  </si>
  <si>
    <t>Nigeria</t>
  </si>
  <si>
    <t>Norway</t>
  </si>
  <si>
    <t>Papua New Guinea</t>
  </si>
  <si>
    <t>North Korea</t>
  </si>
  <si>
    <t>Montenegro</t>
  </si>
  <si>
    <t>Lesotho</t>
  </si>
  <si>
    <t>Indonesia</t>
  </si>
  <si>
    <t>Iraq</t>
  </si>
  <si>
    <t>Singapore</t>
  </si>
  <si>
    <t>South Korea</t>
  </si>
  <si>
    <t>Lebanon</t>
  </si>
  <si>
    <t>Vietnam</t>
  </si>
  <si>
    <t>Jordan</t>
  </si>
  <si>
    <t>Palau</t>
  </si>
  <si>
    <t xml:space="preserve">Antigua and Barbuda </t>
  </si>
  <si>
    <t>El Salvador</t>
  </si>
  <si>
    <t>Republic of the Congo</t>
  </si>
  <si>
    <t>Vanuatu</t>
  </si>
  <si>
    <t>Bangladesh</t>
  </si>
  <si>
    <t>South Sudan</t>
  </si>
  <si>
    <t xml:space="preserve">Saint Kitts and Nevis </t>
  </si>
  <si>
    <t>Rwanda</t>
  </si>
  <si>
    <t xml:space="preserve">Moldova </t>
  </si>
  <si>
    <t>Austria</t>
  </si>
  <si>
    <t>Spain</t>
  </si>
  <si>
    <t>China</t>
  </si>
  <si>
    <t>Qatar</t>
  </si>
  <si>
    <t>Georgia</t>
  </si>
  <si>
    <t>Kazakhstan</t>
  </si>
  <si>
    <t>Namibia</t>
  </si>
  <si>
    <t>Jamaica</t>
  </si>
  <si>
    <t>Syria</t>
  </si>
  <si>
    <t>Tanzania</t>
  </si>
  <si>
    <t>Hungary</t>
  </si>
  <si>
    <t>Thailand</t>
  </si>
  <si>
    <t>Taiwan</t>
  </si>
  <si>
    <t>India</t>
  </si>
  <si>
    <t>Romania</t>
  </si>
  <si>
    <t>East Timor</t>
  </si>
  <si>
    <t>Bosnia and Herzegovina</t>
  </si>
  <si>
    <t>Ireland</t>
  </si>
  <si>
    <t>Croatia</t>
  </si>
  <si>
    <t>Madagascar</t>
  </si>
  <si>
    <t>Sierra Leone</t>
  </si>
  <si>
    <t>Netherlands</t>
  </si>
  <si>
    <t>Trinidad and Tobago</t>
  </si>
  <si>
    <t xml:space="preserve">Samoa </t>
  </si>
  <si>
    <t>Albania</t>
  </si>
  <si>
    <t>Cape Verde</t>
  </si>
  <si>
    <t>Italy</t>
  </si>
  <si>
    <t>Maldives</t>
  </si>
  <si>
    <t>Yemen</t>
  </si>
  <si>
    <t>Latvia</t>
  </si>
  <si>
    <t>Lithuania</t>
  </si>
  <si>
    <t>Senegal</t>
  </si>
  <si>
    <t>Bulgaria</t>
  </si>
  <si>
    <t xml:space="preserve">Seychelles </t>
  </si>
  <si>
    <t>Saint Vincent and the Grenadines</t>
  </si>
  <si>
    <t>Andorra</t>
  </si>
  <si>
    <t>Togo</t>
  </si>
  <si>
    <t>Japan</t>
  </si>
  <si>
    <t>Central African Republic</t>
  </si>
  <si>
    <t>Mauritania</t>
  </si>
  <si>
    <t>Portugal</t>
  </si>
  <si>
    <t>Liberia</t>
  </si>
  <si>
    <t>Cameroon</t>
  </si>
  <si>
    <t>Cuba</t>
  </si>
  <si>
    <t>Malawi</t>
  </si>
  <si>
    <t>Tuvalu</t>
  </si>
  <si>
    <t>Turkmenistan</t>
  </si>
  <si>
    <t>Uganda</t>
  </si>
  <si>
    <t>Switzerland</t>
  </si>
  <si>
    <t>Kuwait</t>
  </si>
  <si>
    <t>Ghana</t>
  </si>
  <si>
    <t>Poland</t>
  </si>
  <si>
    <t>Mongolia</t>
  </si>
  <si>
    <t>Ethiopia</t>
  </si>
  <si>
    <t>Niger</t>
  </si>
  <si>
    <t>United States of America</t>
  </si>
  <si>
    <t>Sudan</t>
  </si>
  <si>
    <t>Bahrain</t>
  </si>
  <si>
    <t>Algeria</t>
  </si>
  <si>
    <t>Botswana</t>
  </si>
  <si>
    <t>Guinea-Bissau</t>
  </si>
  <si>
    <t>Pakistan</t>
  </si>
  <si>
    <t>Afghanistan</t>
  </si>
  <si>
    <t>Oman</t>
  </si>
  <si>
    <t>Burkina Faso</t>
  </si>
  <si>
    <t>Serbia</t>
  </si>
  <si>
    <t xml:space="preserve">Mauritius </t>
  </si>
  <si>
    <t>New Zealand</t>
  </si>
  <si>
    <t>Somalia</t>
  </si>
  <si>
    <t>Cyprus</t>
  </si>
  <si>
    <t>The Bahamas</t>
  </si>
  <si>
    <t>Germany</t>
  </si>
  <si>
    <t>Luxembourg</t>
  </si>
  <si>
    <t>Solomon Islands</t>
  </si>
  <si>
    <t>Cote d'Ivoire</t>
  </si>
  <si>
    <t>Russia</t>
  </si>
  <si>
    <t>Laos</t>
  </si>
  <si>
    <t>Sweden</t>
  </si>
  <si>
    <t>Kiribati</t>
  </si>
  <si>
    <t>Philippines</t>
  </si>
  <si>
    <t>Comoros</t>
  </si>
  <si>
    <t>Liechtenstein</t>
  </si>
  <si>
    <t>Chad</t>
  </si>
  <si>
    <t>Macedonia</t>
  </si>
  <si>
    <t>United Arab Emirates</t>
  </si>
  <si>
    <t>Kosovo</t>
  </si>
  <si>
    <t>Mexico</t>
  </si>
  <si>
    <t>Egypt</t>
  </si>
  <si>
    <t>Swaziland</t>
  </si>
  <si>
    <t>Brunei</t>
  </si>
  <si>
    <t>Democratic Republic of the Congo</t>
  </si>
  <si>
    <t>Tonga</t>
  </si>
  <si>
    <t>Malaysia</t>
  </si>
  <si>
    <t>Costa Rica</t>
  </si>
  <si>
    <t>Nepal</t>
  </si>
  <si>
    <t>Tajikistan</t>
  </si>
  <si>
    <t>Iceland</t>
  </si>
  <si>
    <t>Czech Republic</t>
  </si>
  <si>
    <t>Saudi Arabia</t>
  </si>
  <si>
    <t>Turkey</t>
  </si>
  <si>
    <t>Eritrea</t>
  </si>
  <si>
    <t>Greece</t>
  </si>
  <si>
    <t>Benin</t>
  </si>
  <si>
    <t>Honduras</t>
  </si>
  <si>
    <t>Morocco</t>
  </si>
  <si>
    <t>Estonia</t>
  </si>
  <si>
    <t>Canada</t>
  </si>
  <si>
    <t>Belize</t>
  </si>
  <si>
    <t>Nicaragua</t>
  </si>
  <si>
    <t>Monaco</t>
  </si>
  <si>
    <t>Barbados</t>
  </si>
  <si>
    <t>Haiti</t>
  </si>
  <si>
    <t>Armenia</t>
  </si>
  <si>
    <t>Panama</t>
  </si>
  <si>
    <t>Israel</t>
  </si>
  <si>
    <t>France</t>
  </si>
  <si>
    <t>Slovakia</t>
  </si>
  <si>
    <t>Nauru</t>
  </si>
  <si>
    <t>Ukraine</t>
  </si>
  <si>
    <t>Sao Tome and Principe</t>
  </si>
  <si>
    <t>Saint Lucia</t>
  </si>
  <si>
    <t>Slovenia</t>
  </si>
  <si>
    <t>Belarus</t>
  </si>
  <si>
    <t>San Marino</t>
  </si>
  <si>
    <t>Kyrgyzstan</t>
  </si>
  <si>
    <t>South Africa</t>
  </si>
  <si>
    <t>Dominica</t>
  </si>
  <si>
    <t>Guinea</t>
  </si>
  <si>
    <t>Gabon</t>
  </si>
  <si>
    <t>Equatorial Guinea</t>
  </si>
  <si>
    <t>Belgium</t>
  </si>
  <si>
    <t>Finland</t>
  </si>
  <si>
    <t>Zimbabwe</t>
  </si>
  <si>
    <t>Cambodia</t>
  </si>
  <si>
    <t>Vatican City</t>
  </si>
  <si>
    <t>Djibouti</t>
  </si>
  <si>
    <t>Etiquetas de fila</t>
  </si>
  <si>
    <t>Total 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</si>
  <si>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</si>
  <si>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</si>
  <si>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</si>
  <si>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</si>
  <si>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</si>
  <si>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</si>
  <si>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</si>
  <si>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</si>
  <si>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</si>
  <si>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</si>
  <si>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</si>
  <si>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</si>
  <si>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 de Importe venta total</t>
  </si>
  <si>
    <t>All</t>
  </si>
  <si>
    <t>Año</t>
  </si>
  <si>
    <t>Mes</t>
  </si>
  <si>
    <t>Ganancia 1</t>
  </si>
  <si>
    <t>Margen de ventas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</si>
  <si>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</si>
  <si>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</si>
  <si>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</si>
  <si>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</si>
  <si>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</si>
  <si>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</si>
  <si>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</si>
  <si>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</si>
  <si>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</si>
  <si>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</si>
  <si>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</si>
  <si>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</si>
  <si>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Precio de venta</t>
  </si>
  <si>
    <t>Costo total</t>
  </si>
  <si>
    <t>Ganancia</t>
  </si>
  <si>
    <t>$B$1</t>
  </si>
  <si>
    <t>$B$2</t>
  </si>
  <si>
    <t>$B$3</t>
  </si>
  <si>
    <t>Pesimista</t>
  </si>
  <si>
    <t>Creado por Aylen Seubart el 27/10/2026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</si>
  <si>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</si>
  <si>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</si>
  <si>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</si>
  <si>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</si>
  <si>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</si>
  <si>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</si>
  <si>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</si>
  <si>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</si>
  <si>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</si>
  <si>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Total venta</t>
  </si>
  <si>
    <t>Ganancia sobre ventas</t>
  </si>
  <si>
    <t>Crecimiento YoY</t>
  </si>
  <si>
    <t>Concepto</t>
  </si>
  <si>
    <t>Importe</t>
  </si>
  <si>
    <t>Ventas</t>
  </si>
  <si>
    <t>Costos</t>
  </si>
  <si>
    <t>DASHBOARD COMERCIAL | ANÁLISIS DE VENTAS Y RENTABILIDAD</t>
  </si>
  <si>
    <t>VALIDACIÓN CRÍTICA CON CHATGPT</t>
  </si>
  <si>
    <t>CONCLUSIONES DEL ANÁLISIS COMERCIAL</t>
  </si>
  <si>
    <t>1. Ventas acumuladas</t>
  </si>
  <si>
    <t>Entre 2020 y 2022, las ventas totalizaron $1.289.101.896,81.</t>
  </si>
  <si>
    <t>2. Rentabilidad</t>
  </si>
  <si>
    <t>El margen de ventas global del período fue del 29,64%.</t>
  </si>
  <si>
    <t>3. Evolución interanual</t>
  </si>
  <si>
    <t>Las ventas de 2022 disminuyeron un 23,73% respecto de 2021.</t>
  </si>
  <si>
    <t>Prompt utilizado:</t>
  </si>
  <si>
    <t>“Actuá como analista crítico de negocio. Revisá estas conclusiones e identificá posibles sesgos, variables omitidas y explicaciones alternativas. No afirmes causas que los datos no demuestran”.</t>
  </si>
  <si>
    <t>Resultado de la revisión:</t>
  </si>
  <si>
    <t>La caída interanual no demuestra por sí sola una pérdida de rentabilidad ni explica sus causas. Se recomienda analizar el desempeño por producto y país, junto con los cambios en precios, costos y volumen vendido.</t>
  </si>
  <si>
    <t>Variación de ventas 2022 vs. 2021</t>
  </si>
  <si>
    <t>Este indicador representa el resultado global del período y puede variar según el producto y el país analizados.</t>
  </si>
  <si>
    <t>REGISTRO DE PROMPTS DE IA</t>
  </si>
  <si>
    <t>Entrega: Capa de visualización final del dashboard</t>
  </si>
  <si>
    <t>Estudiante: Aylen Seubart</t>
  </si>
  <si>
    <t>1. Validación de indicadores y visualizaciones</t>
  </si>
  <si>
    <t>“Actuá como analista de datos. Revisá los indicadores de ventas, margen de ventas, ganancia y crecimiento interanual de un dashboard comercial. Ayudame a interpretar los resultados sin inventar datos ni afirmar causas que no estén demostradas.”</t>
  </si>
  <si>
    <t>Uso: Se utilizaron las respuestas como apoyo para revisar la interpretación de los KPI y las visualizaciones del dashboard.</t>
  </si>
  <si>
    <t>2. Revisión crítica de conclusiones</t>
  </si>
  <si>
    <t>“Actuá como analista crítico de negocio. Revisá estas conclusiones e identificá posibles sesgos, variables omitidas y explicaciones alternativas. No afirmes causas que los datos no demuestran.”</t>
  </si>
  <si>
    <t>Conclusiones revisadas:</t>
  </si>
  <si>
    <t>1. Entre 2020 y 2022, las ventas acumuladas fueron de $1.289.101.896,81.</t>
  </si>
  <si>
    <t>2. El margen de ventas global del período fue del 29,64%.</t>
  </si>
  <si>
    <t>3. Las ventas de 2022 disminuyeron un 23,73% respecto de 2021.</t>
  </si>
  <si>
    <t>Resultado de la revisión: La caída interanual no demuestra por sí sola una pérdida de rentabilidad ni explica sus causas. Para profundizar el análisis, conviene comparar productos y países, además de considerar posibles variaciones en precios, costos y volumen de ventas.</t>
  </si>
  <si>
    <t>3. Validación de interactividad</t>
  </si>
  <si>
    <t>“Ayudame a comprobar que los segmentadores de año, tipo de producto y país permitan filtrar los gráficos y los indicadores del dashboard, y a identificar problemas de conexión entre tablas dinámicas.”</t>
  </si>
  <si>
    <t>4. Criterio de uso de IA</t>
  </si>
  <si>
    <t>La IA se utilizó como apoyo para revisar interpretaciones, detectar posibles limitaciones y validar la interactividad. Las conclusiones finales deben contrastarse con los datos y las visualizaciones del archivo Excel.</t>
  </si>
  <si>
    <r>
      <rPr>
        <sz val="11"/>
        <color theme="4"/>
        <rFont val="Aptos Narrow"/>
        <family val="2"/>
        <scheme val="minor"/>
      </rPr>
      <t>Resultado</t>
    </r>
    <r>
      <rPr>
        <sz val="11"/>
        <color theme="1"/>
        <rFont val="Aptos Narrow"/>
        <family val="2"/>
        <scheme val="minor"/>
      </rPr>
      <t>: Se verificaron las conexiones de los segmentadores y se corrigieron sus conexiones para que los indicadores respondieran a los filtros.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</si>
</sst>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\$\ #,##0.00;\-\$\ #,##0.00;\$\ #,##0.00"/>
    <numFmt numFmtId="166" formatCode="0.00\ %;\-0.00\ %;0.00\ %"/>
    <numFmt numFmtId="167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Continuous"/>
    </xf>
    <xf numFmtId="44" fontId="0" fillId="0" borderId="0" xfId="2" applyFont="1"/>
    <xf numFmtId="2" fontId="2" fillId="0" borderId="2" xfId="2" applyNumberFormat="1" applyFont="1" applyFill="1" applyBorder="1" applyAlignment="1">
      <alignment horizontal="centerContinuous"/>
    </xf>
    <xf numFmtId="2" fontId="0" fillId="0" borderId="0" xfId="2" applyNumberFormat="1" applyFont="1" applyFill="1" applyBorder="1" applyAlignment="1"/>
    <xf numFmtId="2" fontId="0" fillId="0" borderId="0" xfId="2" applyNumberFormat="1" applyFont="1"/>
    <xf numFmtId="43" fontId="0" fillId="0" borderId="0" xfId="1" applyFont="1" applyFill="1" applyBorder="1" applyAlignment="1"/>
    <xf numFmtId="167" fontId="0" fillId="0" borderId="1" xfId="1" applyNumberFormat="1" applyFont="1" applyFill="1" applyBorder="1" applyAlignment="1"/>
    <xf numFmtId="0" fontId="3" fillId="0" borderId="3" xfId="0" applyFont="1" applyBorder="1"/>
    <xf numFmtId="44" fontId="0" fillId="0" borderId="3" xfId="2" applyFont="1" applyBorder="1"/>
    <xf numFmtId="44" fontId="0" fillId="0" borderId="0" xfId="0" applyNumberFormat="1"/>
    <xf numFmtId="44" fontId="0" fillId="0" borderId="1" xfId="0" applyNumberFormat="1" applyBorder="1"/>
    <xf numFmtId="0" fontId="4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0" fillId="0" borderId="6" xfId="0" applyBorder="1"/>
    <xf numFmtId="0" fontId="5" fillId="3" borderId="0" xfId="0" applyFont="1" applyFill="1" applyAlignment="1">
      <alignment horizontal="left"/>
    </xf>
    <xf numFmtId="0" fontId="6" fillId="3" borderId="6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44" fontId="0" fillId="4" borderId="0" xfId="0" applyNumberFormat="1" applyFill="1"/>
    <xf numFmtId="0" fontId="8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horizontal="left" indent="1"/>
    </xf>
    <xf numFmtId="10" fontId="0" fillId="0" borderId="0" xfId="0" applyNumberFormat="1"/>
    <xf numFmtId="10" fontId="0" fillId="0" borderId="0" xfId="3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34" formatCode="_-&quot;$&quot;\ * #,##0.00_-;\-&quot;$&quot;\ * #,##0.00_-;_-&quot;$&quot;\ * &quot;-&quot;??_-;_-@_-"/>
    </dxf>
    <dxf>
      <alignment wrapText="1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9" Type="http://schemas.openxmlformats.org/officeDocument/2006/relationships/customXml" Target="../customXml/item3.xml"/><Relationship Id="rId21" Type="http://schemas.openxmlformats.org/officeDocument/2006/relationships/pivotCacheDefinition" Target="pivotCache/pivotCacheDefinition4.xml"/><Relationship Id="rId34" Type="http://schemas.openxmlformats.org/officeDocument/2006/relationships/sheetMetadata" Target="metadata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63" Type="http://schemas.openxmlformats.org/officeDocument/2006/relationships/customXml" Target="../customXml/item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3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5.xml"/><Relationship Id="rId19" Type="http://schemas.openxmlformats.org/officeDocument/2006/relationships/pivotCacheDefinition" Target="pivotCache/pivotCacheDefinition2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microsoft.com/office/2007/relationships/slicerCache" Target="slicerCaches/slicerCache1.xml"/><Relationship Id="rId30" Type="http://schemas.openxmlformats.org/officeDocument/2006/relationships/theme" Target="theme/theme1.xml"/><Relationship Id="rId35" Type="http://schemas.openxmlformats.org/officeDocument/2006/relationships/powerPivotData" Target="model/item.data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64" Type="http://schemas.openxmlformats.org/officeDocument/2006/relationships/customXml" Target="../customXml/item2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Relationship Id="rId20" Type="http://schemas.openxmlformats.org/officeDocument/2006/relationships/pivotCacheDefinition" Target="pivotCache/pivotCacheDefinition3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62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microsoft.com/office/2007/relationships/slicerCache" Target="slicerCaches/slicerCache2.xml"/><Relationship Id="rId36" Type="http://schemas.openxmlformats.org/officeDocument/2006/relationships/calcChain" Target="calcChain.xml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10" Type="http://schemas.openxmlformats.org/officeDocument/2006/relationships/worksheet" Target="worksheets/sheet10.xml"/><Relationship Id="rId31" Type="http://schemas.openxmlformats.org/officeDocument/2006/relationships/connections" Target="connections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[Entrega_Final_Dashboard_Seubart_Aylen.xlsx]Aux_Pais!TablaDinámica3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Aux_Pais!$C$3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Aux_Pais!$B$4:$B$14</c:f>
              <c:strCache>
                <c:ptCount val="10"/>
                <c:pt idx="0">
                  <c:v>Andorra</c:v>
                </c:pt>
                <c:pt idx="1">
                  <c:v>Czech Republic</c:v>
                </c:pt>
                <c:pt idx="2">
                  <c:v>Equatorial Guinea</c:v>
                </c:pt>
                <c:pt idx="3">
                  <c:v>Iran</c:v>
                </c:pt>
                <c:pt idx="4">
                  <c:v>Liberia</c:v>
                </c:pt>
                <c:pt idx="5">
                  <c:v>Lithuania</c:v>
                </c:pt>
                <c:pt idx="6">
                  <c:v>Malaysia</c:v>
                </c:pt>
                <c:pt idx="7">
                  <c:v>Romania</c:v>
                </c:pt>
                <c:pt idx="8">
                  <c:v>Thailand</c:v>
                </c:pt>
                <c:pt idx="9">
                  <c:v>The Gambia</c:v>
                </c:pt>
              </c:strCache>
            </c:strRef>
          </c:cat>
          <c:val>
            <c:numRef>
              <c:f>Aux_Pais!$C$4:$C$14</c:f>
              <c:numCache>
                <c:formatCode>General</c:formatCode>
                <c:ptCount val="10"/>
                <c:pt idx="0">
                  <c:v>16670799.379999999</c:v>
                </c:pt>
                <c:pt idx="1">
                  <c:v>18652827.280000001</c:v>
                </c:pt>
                <c:pt idx="2">
                  <c:v>21450067.060000002</c:v>
                </c:pt>
                <c:pt idx="3">
                  <c:v>15436762.6</c:v>
                </c:pt>
                <c:pt idx="4">
                  <c:v>16694649.219999999</c:v>
                </c:pt>
                <c:pt idx="5">
                  <c:v>15752290.26</c:v>
                </c:pt>
                <c:pt idx="6">
                  <c:v>18963432.799999997</c:v>
                </c:pt>
                <c:pt idx="7">
                  <c:v>16053894.880000001</c:v>
                </c:pt>
                <c:pt idx="8">
                  <c:v>15565790.9</c:v>
                </c:pt>
                <c:pt idx="9">
                  <c:v>19881838.809999999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4-4DDA-9FB8-157E0B58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7596832"/>
        <c:axId val="1391351664"/>
      </c:barChart>
      <c:catAx>
        <c:axId val="1027596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1351664"/>
        <c:crosses val="autoZero"/>
        <c:auto val="1"/>
        <c:lblAlgn val="ctr"/>
        <c:lblOffset val="100"/>
        <c:noMultiLvlLbl val="0"/>
      </c:catAx>
      <c:valAx>
        <c:axId val="13913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759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[Entrega_Final_Dashboard_Seubart_Aylen.xlsx]Aux_Mensual!TablaDinámica1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Aux_Mensual!$C$3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Aux_Mensual!$B$4:$B$42</c:f>
              <c:multiLvlStrCache>
                <c:ptCount val="35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Aux_Mensual!$C$4:$C$42</c:f>
              <c:numCache>
                <c:formatCode>General</c:formatCode>
                <c:ptCount val="35"/>
                <c:pt idx="0">
                  <c:v>33290486.390000001</c:v>
                </c:pt>
                <c:pt idx="1">
                  <c:v>26481452.190000001</c:v>
                </c:pt>
                <c:pt idx="2">
                  <c:v>28177789.440000001</c:v>
                </c:pt>
                <c:pt idx="3">
                  <c:v>40947224.959999993</c:v>
                </c:pt>
                <c:pt idx="4">
                  <c:v>34595467.339999989</c:v>
                </c:pt>
                <c:pt idx="5">
                  <c:v>25414700.660000004</c:v>
                </c:pt>
                <c:pt idx="6">
                  <c:v>32864607.400000002</c:v>
                </c:pt>
                <c:pt idx="7">
                  <c:v>35640817.719999991</c:v>
                </c:pt>
                <c:pt idx="8">
                  <c:v>39490187.540000007</c:v>
                </c:pt>
                <c:pt idx="9">
                  <c:v>47723285.520000011</c:v>
                </c:pt>
                <c:pt idx="10">
                  <c:v>51239773.009999998</c:v>
                </c:pt>
                <c:pt idx="11">
                  <c:v>41425837.770000011</c:v>
                </c:pt>
                <c:pt idx="12">
                  <c:v>43318282.250000015</c:v>
                </c:pt>
                <c:pt idx="13">
                  <c:v>50479085.849999994</c:v>
                </c:pt>
                <c:pt idx="14">
                  <c:v>58233791.359999992</c:v>
                </c:pt>
                <c:pt idx="15">
                  <c:v>43491506.450000003</c:v>
                </c:pt>
                <c:pt idx="16">
                  <c:v>43000119.609999999</c:v>
                </c:pt>
                <c:pt idx="17">
                  <c:v>41074863.730000004</c:v>
                </c:pt>
                <c:pt idx="18">
                  <c:v>35408237.779999994</c:v>
                </c:pt>
                <c:pt idx="19">
                  <c:v>60958452.010000005</c:v>
                </c:pt>
                <c:pt idx="20">
                  <c:v>18737580.57</c:v>
                </c:pt>
                <c:pt idx="21">
                  <c:v>25326747.34</c:v>
                </c:pt>
                <c:pt idx="22">
                  <c:v>37902612.570000008</c:v>
                </c:pt>
                <c:pt idx="23">
                  <c:v>25304116.32</c:v>
                </c:pt>
                <c:pt idx="24">
                  <c:v>34748526.310000002</c:v>
                </c:pt>
                <c:pt idx="25">
                  <c:v>39966582.43</c:v>
                </c:pt>
                <c:pt idx="26">
                  <c:v>34693677.109999999</c:v>
                </c:pt>
                <c:pt idx="27">
                  <c:v>39439042.680000007</c:v>
                </c:pt>
                <c:pt idx="28">
                  <c:v>30626945.070000004</c:v>
                </c:pt>
                <c:pt idx="29">
                  <c:v>37496884.129999995</c:v>
                </c:pt>
                <c:pt idx="30">
                  <c:v>37376630.829999998</c:v>
                </c:pt>
                <c:pt idx="31">
                  <c:v>59935189.259999998</c:v>
                </c:pt>
                <c:pt idx="32">
                  <c:v>29304236.289999995</c:v>
                </c:pt>
                <c:pt idx="33">
                  <c:v>16509745.699999997</c:v>
                </c:pt>
                <c:pt idx="34">
                  <c:v>8477411.2200000007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E-4F7C-AEE0-A485BB0C3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125072"/>
        <c:axId val="1391413104"/>
      </c:lineChart>
      <c:catAx>
        <c:axId val="14081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1413104"/>
        <c:crosses val="autoZero"/>
        <c:auto val="1"/>
        <c:lblAlgn val="ctr"/>
        <c:lblOffset val="100"/>
        <c:noMultiLvlLbl val="0"/>
      </c:catAx>
      <c:valAx>
        <c:axId val="13914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812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[Entrega_Final_Dashboard_Seubart_Aylen.xlsx]Aux_Producto!TablaDinámica2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Aux_Producto!$C$3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Aux_Producto!$B$4:$B$16</c:f>
              <c:strCache>
                <c:ptCount val="12"/>
                <c:pt idx="0">
                  <c:v>Alimento infantil</c:v>
                </c:pt>
                <c:pt idx="1">
                  <c:v>Bebida</c:v>
                </c:pt>
                <c:pt idx="2">
                  <c:v>Cárnicos</c:v>
                </c:pt>
                <c:pt idx="3">
                  <c:v>Cereales</c:v>
                </c:pt>
                <c:pt idx="4">
                  <c:v>Cosméticos</c:v>
                </c:pt>
                <c:pt idx="5">
                  <c:v>Cuidado personal</c:v>
                </c:pt>
                <c:pt idx="6">
                  <c:v>Doméstico</c:v>
                </c:pt>
                <c:pt idx="7">
                  <c:v>Frutas</c:v>
                </c:pt>
                <c:pt idx="8">
                  <c:v>Material de oficina</c:v>
                </c:pt>
                <c:pt idx="9">
                  <c:v>Ropa</c:v>
                </c:pt>
                <c:pt idx="10">
                  <c:v>Snacks</c:v>
                </c:pt>
                <c:pt idx="11">
                  <c:v>Verduras</c:v>
                </c:pt>
              </c:strCache>
            </c:strRef>
          </c:cat>
          <c:val>
            <c:numRef>
              <c:f>Aux_Producto!$C$4:$C$16</c:f>
              <c:numCache>
                <c:formatCode>General</c:formatCode>
                <c:ptCount val="12"/>
                <c:pt idx="0">
                  <c:v>110214331.92</c:v>
                </c:pt>
                <c:pt idx="1">
                  <c:v>21667947.600000001</c:v>
                </c:pt>
                <c:pt idx="2">
                  <c:v>178522753.49999997</c:v>
                </c:pt>
                <c:pt idx="3">
                  <c:v>93401170.499999985</c:v>
                </c:pt>
                <c:pt idx="4">
                  <c:v>162215190.39999998</c:v>
                </c:pt>
                <c:pt idx="5">
                  <c:v>37201861.399999991</c:v>
                </c:pt>
                <c:pt idx="6">
                  <c:v>268795569.02000004</c:v>
                </c:pt>
                <c:pt idx="7">
                  <c:v>3820392.42</c:v>
                </c:pt>
                <c:pt idx="8">
                  <c:v>237252083.25</c:v>
                </c:pt>
                <c:pt idx="9">
                  <c:v>41236152.32</c:v>
                </c:pt>
                <c:pt idx="10">
                  <c:v>71156445.899999991</c:v>
                </c:pt>
                <c:pt idx="11">
                  <c:v>63617998.580000006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8-4B99-A8CD-BE9AFD200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0772000"/>
        <c:axId val="1391350704"/>
      </c:barChart>
      <c:catAx>
        <c:axId val="103077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1350704"/>
        <c:crosses val="autoZero"/>
        <c:auto val="1"/>
        <c:lblAlgn val="ctr"/>
        <c:lblOffset val="100"/>
        <c:noMultiLvlLbl val="0"/>
      </c:catAx>
      <c:valAx>
        <c:axId val="139135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307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[Entrega_Final_Dashboard_Seubart_Aylen.xlsx]Aux_Mensual!TablaDinámica1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Las ventas fluctúan a lo largo del período 2020-2022</a:t>
            </a:r>
            <a:endParaRPr lang="es-AR"/>
          </a:p>
        </c:rich>
      </c:tx>
      <c:layout>
        <c:manualLayout>
          <c:xMode val="edge"/>
          <c:yMode val="edge"/>
          <c:x val="8.6993000874890647E-2"/>
          <c:y val="0.12198516132854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Aux_Mensual!$C$3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Aux_Mensual!$B$4:$B$42</c:f>
              <c:multiLvlStrCache>
                <c:ptCount val="35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  <c:pt idx="20">
                    <c:v>septiembre</c:v>
                  </c:pt>
                  <c:pt idx="21">
                    <c:v>octubre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enero</c:v>
                  </c:pt>
                  <c:pt idx="25">
                    <c:v>febrero</c:v>
                  </c:pt>
                  <c:pt idx="26">
                    <c:v>marzo</c:v>
                  </c:pt>
                  <c:pt idx="27">
                    <c:v>abril</c:v>
                  </c:pt>
                  <c:pt idx="28">
                    <c:v>mayo</c:v>
                  </c:pt>
                  <c:pt idx="29">
                    <c:v>junio</c:v>
                  </c:pt>
                  <c:pt idx="30">
                    <c:v>julio</c:v>
                  </c:pt>
                  <c:pt idx="31">
                    <c:v>agosto</c:v>
                  </c:pt>
                  <c:pt idx="32">
                    <c:v>septiembre</c:v>
                  </c:pt>
                  <c:pt idx="33">
                    <c:v>octubre</c:v>
                  </c:pt>
                  <c:pt idx="34">
                    <c:v>noviembre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Aux_Mensual!$C$4:$C$42</c:f>
              <c:numCache>
                <c:formatCode>General</c:formatCode>
                <c:ptCount val="35"/>
                <c:pt idx="0">
                  <c:v>33290486.390000001</c:v>
                </c:pt>
                <c:pt idx="1">
                  <c:v>26481452.190000001</c:v>
                </c:pt>
                <c:pt idx="2">
                  <c:v>28177789.440000001</c:v>
                </c:pt>
                <c:pt idx="3">
                  <c:v>40947224.959999993</c:v>
                </c:pt>
                <c:pt idx="4">
                  <c:v>34595467.339999989</c:v>
                </c:pt>
                <c:pt idx="5">
                  <c:v>25414700.660000004</c:v>
                </c:pt>
                <c:pt idx="6">
                  <c:v>32864607.400000002</c:v>
                </c:pt>
                <c:pt idx="7">
                  <c:v>35640817.719999991</c:v>
                </c:pt>
                <c:pt idx="8">
                  <c:v>39490187.540000007</c:v>
                </c:pt>
                <c:pt idx="9">
                  <c:v>47723285.520000011</c:v>
                </c:pt>
                <c:pt idx="10">
                  <c:v>51239773.009999998</c:v>
                </c:pt>
                <c:pt idx="11">
                  <c:v>41425837.770000011</c:v>
                </c:pt>
                <c:pt idx="12">
                  <c:v>43318282.250000015</c:v>
                </c:pt>
                <c:pt idx="13">
                  <c:v>50479085.849999994</c:v>
                </c:pt>
                <c:pt idx="14">
                  <c:v>58233791.359999992</c:v>
                </c:pt>
                <c:pt idx="15">
                  <c:v>43491506.450000003</c:v>
                </c:pt>
                <c:pt idx="16">
                  <c:v>43000119.609999999</c:v>
                </c:pt>
                <c:pt idx="17">
                  <c:v>41074863.730000004</c:v>
                </c:pt>
                <c:pt idx="18">
                  <c:v>35408237.779999994</c:v>
                </c:pt>
                <c:pt idx="19">
                  <c:v>60958452.010000005</c:v>
                </c:pt>
                <c:pt idx="20">
                  <c:v>18737580.57</c:v>
                </c:pt>
                <c:pt idx="21">
                  <c:v>25326747.34</c:v>
                </c:pt>
                <c:pt idx="22">
                  <c:v>37902612.570000008</c:v>
                </c:pt>
                <c:pt idx="23">
                  <c:v>25304116.32</c:v>
                </c:pt>
                <c:pt idx="24">
                  <c:v>34748526.310000002</c:v>
                </c:pt>
                <c:pt idx="25">
                  <c:v>39966582.43</c:v>
                </c:pt>
                <c:pt idx="26">
                  <c:v>34693677.109999999</c:v>
                </c:pt>
                <c:pt idx="27">
                  <c:v>39439042.680000007</c:v>
                </c:pt>
                <c:pt idx="28">
                  <c:v>30626945.070000004</c:v>
                </c:pt>
                <c:pt idx="29">
                  <c:v>37496884.129999995</c:v>
                </c:pt>
                <c:pt idx="30">
                  <c:v>37376630.829999998</c:v>
                </c:pt>
                <c:pt idx="31">
                  <c:v>59935189.259999998</c:v>
                </c:pt>
                <c:pt idx="32">
                  <c:v>29304236.289999995</c:v>
                </c:pt>
                <c:pt idx="33">
                  <c:v>16509745.699999997</c:v>
                </c:pt>
                <c:pt idx="34">
                  <c:v>8477411.2200000007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B-4DBC-B5A1-2F34D93E3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125072"/>
        <c:axId val="1391413104"/>
      </c:lineChart>
      <c:catAx>
        <c:axId val="14081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1413104"/>
        <c:crosses val="autoZero"/>
        <c:auto val="1"/>
        <c:lblAlgn val="ctr"/>
        <c:lblOffset val="100"/>
        <c:noMultiLvlLbl val="0"/>
      </c:catAx>
      <c:valAx>
        <c:axId val="13914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812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[Entrega_Final_Dashboard_Seubart_Aylen.xlsx]Aux_Producto!TablaDinámica2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Las ventas se concentran en determinadas categorías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Aux_Producto!$C$3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Aux_Producto!$B$4:$B$16</c:f>
              <c:strCache>
                <c:ptCount val="12"/>
                <c:pt idx="0">
                  <c:v>Alimento infantil</c:v>
                </c:pt>
                <c:pt idx="1">
                  <c:v>Bebida</c:v>
                </c:pt>
                <c:pt idx="2">
                  <c:v>Cárnicos</c:v>
                </c:pt>
                <c:pt idx="3">
                  <c:v>Cereales</c:v>
                </c:pt>
                <c:pt idx="4">
                  <c:v>Cosméticos</c:v>
                </c:pt>
                <c:pt idx="5">
                  <c:v>Cuidado personal</c:v>
                </c:pt>
                <c:pt idx="6">
                  <c:v>Doméstico</c:v>
                </c:pt>
                <c:pt idx="7">
                  <c:v>Frutas</c:v>
                </c:pt>
                <c:pt idx="8">
                  <c:v>Material de oficina</c:v>
                </c:pt>
                <c:pt idx="9">
                  <c:v>Ropa</c:v>
                </c:pt>
                <c:pt idx="10">
                  <c:v>Snacks</c:v>
                </c:pt>
                <c:pt idx="11">
                  <c:v>Verduras</c:v>
                </c:pt>
              </c:strCache>
            </c:strRef>
          </c:cat>
          <c:val>
            <c:numRef>
              <c:f>Aux_Producto!$C$4:$C$16</c:f>
              <c:numCache>
                <c:formatCode>General</c:formatCode>
                <c:ptCount val="12"/>
                <c:pt idx="0">
                  <c:v>110214331.92</c:v>
                </c:pt>
                <c:pt idx="1">
                  <c:v>21667947.600000001</c:v>
                </c:pt>
                <c:pt idx="2">
                  <c:v>178522753.49999997</c:v>
                </c:pt>
                <c:pt idx="3">
                  <c:v>93401170.499999985</c:v>
                </c:pt>
                <c:pt idx="4">
                  <c:v>162215190.39999998</c:v>
                </c:pt>
                <c:pt idx="5">
                  <c:v>37201861.399999991</c:v>
                </c:pt>
                <c:pt idx="6">
                  <c:v>268795569.02000004</c:v>
                </c:pt>
                <c:pt idx="7">
                  <c:v>3820392.42</c:v>
                </c:pt>
                <c:pt idx="8">
                  <c:v>237252083.25</c:v>
                </c:pt>
                <c:pt idx="9">
                  <c:v>41236152.32</c:v>
                </c:pt>
                <c:pt idx="10">
                  <c:v>71156445.899999991</c:v>
                </c:pt>
                <c:pt idx="11">
                  <c:v>63617998.580000006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0-4B89-81EB-E9B3B58E7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0772000"/>
        <c:axId val="1391350704"/>
      </c:barChart>
      <c:catAx>
        <c:axId val="103077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1350704"/>
        <c:crosses val="autoZero"/>
        <c:auto val="1"/>
        <c:lblAlgn val="ctr"/>
        <c:lblOffset val="100"/>
        <c:noMultiLvlLbl val="0"/>
      </c:catAx>
      <c:valAx>
        <c:axId val="139135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307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[Entrega_Final_Dashboard_Seubart_Aylen.xlsx]Aux_Pais!TablaDinámica3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Los países presentan distintos niveles de ventas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Aux_Pais!$C$3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Aux_Pais!$B$4:$B$14</c:f>
              <c:strCache>
                <c:ptCount val="10"/>
                <c:pt idx="0">
                  <c:v>Andorra</c:v>
                </c:pt>
                <c:pt idx="1">
                  <c:v>Czech Republic</c:v>
                </c:pt>
                <c:pt idx="2">
                  <c:v>Equatorial Guinea</c:v>
                </c:pt>
                <c:pt idx="3">
                  <c:v>Iran</c:v>
                </c:pt>
                <c:pt idx="4">
                  <c:v>Liberia</c:v>
                </c:pt>
                <c:pt idx="5">
                  <c:v>Lithuania</c:v>
                </c:pt>
                <c:pt idx="6">
                  <c:v>Malaysia</c:v>
                </c:pt>
                <c:pt idx="7">
                  <c:v>Romania</c:v>
                </c:pt>
                <c:pt idx="8">
                  <c:v>Thailand</c:v>
                </c:pt>
                <c:pt idx="9">
                  <c:v>The Gambia</c:v>
                </c:pt>
              </c:strCache>
            </c:strRef>
          </c:cat>
          <c:val>
            <c:numRef>
              <c:f>Aux_Pais!$C$4:$C$14</c:f>
              <c:numCache>
                <c:formatCode>General</c:formatCode>
                <c:ptCount val="10"/>
                <c:pt idx="0">
                  <c:v>16670799.379999999</c:v>
                </c:pt>
                <c:pt idx="1">
                  <c:v>18652827.280000001</c:v>
                </c:pt>
                <c:pt idx="2">
                  <c:v>21450067.060000002</c:v>
                </c:pt>
                <c:pt idx="3">
                  <c:v>15436762.6</c:v>
                </c:pt>
                <c:pt idx="4">
                  <c:v>16694649.219999999</c:v>
                </c:pt>
                <c:pt idx="5">
                  <c:v>15752290.26</c:v>
                </c:pt>
                <c:pt idx="6">
                  <c:v>18963432.799999997</c:v>
                </c:pt>
                <c:pt idx="7">
                  <c:v>16053894.880000001</c:v>
                </c:pt>
                <c:pt idx="8">
                  <c:v>15565790.9</c:v>
                </c:pt>
                <c:pt idx="9">
                  <c:v>19881838.809999999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5-4EFB-8851-D6636854F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7596832"/>
        <c:axId val="1391351664"/>
      </c:barChart>
      <c:catAx>
        <c:axId val="1027596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1351664"/>
        <c:crosses val="autoZero"/>
        <c:auto val="1"/>
        <c:lblAlgn val="ctr"/>
        <c:lblOffset val="100"/>
        <c:noMultiLvlLbl val="0"/>
      </c:catAx>
      <c:valAx>
        <c:axId val="139135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759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AR"/>
              <a:t>De las ventas a la ganancia: impacto de los costos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00000000-E389-48E6-8DD3-23E7D0161D0D}">
          <cx:tx>
            <cx:txData>
              <cx:f>_xlchart.v1.1</cx:f>
              <cx:v>Importe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1"/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s-AR"/>
              <a:t>Los costos representan la mayor parte de las ventas</a:t>
            </a: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00000000-E389-48E6-8DD3-23E7D0161D0D}">
          <cx:tx>
            <cx:txData>
              <cx:f>_xlchart.v1.4</cx:f>
              <cx:v>Importe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1"/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574674</xdr:colOff>
      <xdr:row>0</xdr:row>
      <xdr:rowOff>0</xdr:rowOff>
    </xdr:from>
    <xdr:to>
      <xdr:col>11</xdr:col>
      <xdr:colOff>438149</xdr:colOff>
      <xdr:row>12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A3AC7EA-7468-44D6-E979-72EB8B1A4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8924" y="0"/>
              <a:ext cx="519747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1</xdr:row>
      <xdr:rowOff>3175</xdr:rowOff>
    </xdr:from>
    <xdr:to>
      <xdr:col>9</xdr:col>
      <xdr:colOff>561975</xdr:colOff>
      <xdr:row>15</xdr:row>
      <xdr:rowOff>168275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CFBB7A-2631-21AE-FB92-F96017675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711200</xdr:colOff>
      <xdr:row>1</xdr:row>
      <xdr:rowOff>25400</xdr:rowOff>
    </xdr:from>
    <xdr:to>
      <xdr:col>12</xdr:col>
      <xdr:colOff>254000</xdr:colOff>
      <xdr:row>15</xdr:row>
      <xdr:rowOff>66672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aís">
              <a:extLst>
                <a:ext uri="{FF2B5EF4-FFF2-40B4-BE49-F238E27FC236}">
                  <a16:creationId xmlns:a16="http://schemas.microsoft.com/office/drawing/2014/main" id="{6F2AE64B-8B36-A99A-137F-15A765238D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02700" y="2095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162278</xdr:colOff>
      <xdr:row>2</xdr:row>
      <xdr:rowOff>4233</xdr:rowOff>
    </xdr:from>
    <xdr:to>
      <xdr:col>8</xdr:col>
      <xdr:colOff>536222</xdr:colOff>
      <xdr:row>16</xdr:row>
      <xdr:rowOff>179211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E59AF6-6BF1-B681-B5AC-23541FA05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3528</xdr:colOff>
      <xdr:row>2</xdr:row>
      <xdr:rowOff>10583</xdr:rowOff>
    </xdr:from>
    <xdr:to>
      <xdr:col>11</xdr:col>
      <xdr:colOff>153106</xdr:colOff>
      <xdr:row>16</xdr:row>
      <xdr:rowOff>61733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">
              <a:extLst>
                <a:ext uri="{FF2B5EF4-FFF2-40B4-BE49-F238E27FC236}">
                  <a16:creationId xmlns:a16="http://schemas.microsoft.com/office/drawing/2014/main" id="{D5430822-E28B-C6AB-E9BB-F73AAF953B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3028" y="377472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</xdr:row>
      <xdr:rowOff>3175</xdr:rowOff>
    </xdr:from>
    <xdr:to>
      <xdr:col>9</xdr:col>
      <xdr:colOff>504825</xdr:colOff>
      <xdr:row>15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CA0E8B-D31A-917B-B03C-992FDA098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622300</xdr:colOff>
      <xdr:row>1</xdr:row>
      <xdr:rowOff>19050</xdr:rowOff>
    </xdr:from>
    <xdr:to>
      <xdr:col>12</xdr:col>
      <xdr:colOff>165100</xdr:colOff>
      <xdr:row>15</xdr:row>
      <xdr:rowOff>60322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e producto">
              <a:extLst>
                <a:ext uri="{FF2B5EF4-FFF2-40B4-BE49-F238E27FC236}">
                  <a16:creationId xmlns:a16="http://schemas.microsoft.com/office/drawing/2014/main" id="{835EDE18-89BE-7080-0A4B-69A369D8D0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13800" y="2032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28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AC42A4-9CB1-412F-A69A-A2A3B349B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28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7F6A01-7B81-48E0-837A-FC3AB5D4E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45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8976B9C-E349-46E4-AFA3-C690615E8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</xdr:row>
      <xdr:rowOff>4763</xdr:rowOff>
    </xdr:from>
    <xdr:to>
      <xdr:col>2</xdr:col>
      <xdr:colOff>304800</xdr:colOff>
      <xdr:row>7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ño 1">
              <a:extLst>
                <a:ext uri="{FF2B5EF4-FFF2-40B4-BE49-F238E27FC236}">
                  <a16:creationId xmlns:a16="http://schemas.microsoft.com/office/drawing/2014/main" id="{C0D754FC-0A81-4321-8DD7-7FE4F6D6FE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3701"/>
              <a:ext cx="1828800" cy="1169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473075</xdr:colOff>
      <xdr:row>2</xdr:row>
      <xdr:rowOff>11112</xdr:rowOff>
    </xdr:from>
    <xdr:to>
      <xdr:col>5</xdr:col>
      <xdr:colOff>15875</xdr:colOff>
      <xdr:row>10</xdr:row>
      <xdr:rowOff>166688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 de producto 1">
              <a:extLst>
                <a:ext uri="{FF2B5EF4-FFF2-40B4-BE49-F238E27FC236}">
                  <a16:creationId xmlns:a16="http://schemas.microsoft.com/office/drawing/2014/main" id="{FD7C948C-762E-435D-AA0C-EF1D84ABE2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7075" y="400050"/>
              <a:ext cx="1828800" cy="17986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31</xdr:row>
      <xdr:rowOff>0</xdr:rowOff>
    </xdr:from>
    <xdr:to>
      <xdr:col>13</xdr:col>
      <xdr:colOff>0</xdr:colOff>
      <xdr:row>45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975B3E4B-CF4D-47A9-905F-9576264788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9450" y="5911850"/>
              <a:ext cx="66865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261938</xdr:colOff>
      <xdr:row>1</xdr:row>
      <xdr:rowOff>357188</xdr:rowOff>
    </xdr:from>
    <xdr:to>
      <xdr:col>7</xdr:col>
      <xdr:colOff>138113</xdr:colOff>
      <xdr:row>10</xdr:row>
      <xdr:rowOff>177800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aís 1">
              <a:extLst>
                <a:ext uri="{FF2B5EF4-FFF2-40B4-BE49-F238E27FC236}">
                  <a16:creationId xmlns:a16="http://schemas.microsoft.com/office/drawing/2014/main" id="{BBEEA02F-0254-4105-A0EF-C2A1DE5D2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1938" y="392113"/>
              <a:ext cx="1828800" cy="1817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126204</xdr:colOff>
      <xdr:row>46</xdr:row>
      <xdr:rowOff>118268</xdr:rowOff>
    </xdr:from>
    <xdr:to>
      <xdr:col>4</xdr:col>
      <xdr:colOff>484187</xdr:colOff>
      <xdr:row>52</xdr:row>
      <xdr:rowOff>63500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6097577-75EC-C05A-5C3C-E253E0700F4E}"/>
            </a:ext>
          </a:extLst>
        </xdr:cNvPr>
        <xdr:cNvSpPr txBox="1"/>
      </xdr:nvSpPr>
      <xdr:spPr>
        <a:xfrm>
          <a:off x="126204" y="8722518"/>
          <a:ext cx="3405983" cy="10406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b="1"/>
            <a:t>Nota metodológica:</a:t>
          </a:r>
          <a:r>
            <a:rPr lang="es-AR"/>
            <a:t> La variación interanual compara las ventas de 2022 con las de 2021. La caída observada no permite atribuir causas por sí sola; para explicarla sería necesario analizar también los precios, las unidades vendidas, los costos y la composición de las ventas.</a:t>
          </a:r>
        </a:p>
        <a:p>
          <a:endParaRPr lang="es-AR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2.64642222222" createdVersion="5" refreshedVersion="8" minRefreshableVersion="3" recordCount="0" supportSubquery="1" supportAdvancedDrill="1" xr:uid="{12E60FF5-4B82-49BE-8700-E7E709DD949F}">
  <cacheSource type="external" connectionId="5"/>
  <cacheFields count="5">
    <cacheField name="[Calendario].[Año].[Año]" caption="Año" numFmtId="0" hierarchy="1" level="1">
      <sharedItems containsSemiMixedTypes="0" containsString="0" containsNumber="1" containsInteger="1" minValue="2020" maxValue="2022" count="3"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0]"/>
            <x15:cachedUniqueName index="1" name="[Calendario].[Año].&amp;[2021]"/>
            <x15:cachedUniqueName index="2" name="[Calendario].[Año].&amp;[2022]"/>
          </x15:cachedUniqueNames>
        </ext>
      </extLst>
    </cacheField>
    <cacheField name="[Dim_Clientes].[Zona].[Zona]" caption="Zona" numFmtId="0" hierarchy="9" level="1">
      <sharedItems count="6">
        <s v="África"/>
        <s v="Asia"/>
        <s v="Australia y Oceanía"/>
        <s v="Centroamérica y Caribe"/>
        <s v="Europa"/>
        <s v="Norteamérica"/>
      </sharedItems>
    </cacheField>
    <cacheField name="[Measures].[Suma de Importe venta total]" caption="Suma de Importe venta total" numFmtId="0" hierarchy="25" level="32767"/>
    <cacheField name="[Dim_Productos].[Tipo de producto].[Tipo de producto]" caption="Tipo de producto" numFmtId="0" hierarchy="12" level="1">
      <sharedItems containsSemiMixedTypes="0" containsNonDate="0" containsString="0"/>
    </cacheField>
    <cacheField name="[Calendario].[Mes].[Mes]" caption="Mes" numFmtId="0" hierarchy="4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4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>
      <fieldsUsage count="2">
        <fieldUsage x="-1"/>
        <fieldUsage x="1"/>
      </fieldsUsage>
    </cacheHierarchy>
    <cacheHierarchy uniqueName="[Dim_Clientes].[País]" caption="País" attribute="1" defaultMemberUniqueName="[Dim_Clientes].[País].[All]" allUniqueName="[Dim_Clientes].[País].[All]" dimensionUniqueName="[Dim_Clientes]" displayFolder="" count="0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>
      <fieldsUsage count="2">
        <fieldUsage x="-1"/>
        <fieldUsage x="3"/>
      </fieldsUsage>
    </cacheHierarchy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Measures].[Suma de Importe venta total]" caption="Suma de Importe venta total" measure="1" displayFolder="" measureGroup="Hecho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/>
    <cacheHierarchy uniqueName="[Measures].[Ganancia sobre ventas]" caption="Ganancia sobr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2.664491435185" createdVersion="5" refreshedVersion="8" minRefreshableVersion="3" recordCount="0" supportSubquery="1" supportAdvancedDrill="1" xr:uid="{B5D898F2-9820-47CE-936D-A153E5297D71}">
  <cacheSource type="external" connectionId="5"/>
  <cacheFields count="3">
    <cacheField name="[Dim_Productos].[Tipo de producto].[Tipo de producto]" caption="Tipo de producto" numFmtId="0" hierarchy="12" level="1">
      <sharedItems count="12">
        <s v="Alimento infantil"/>
        <s v="Bebida"/>
        <s v="Cárnicos"/>
        <s v="Cereales"/>
        <s v="Cosméticos"/>
        <s v="Cuidado personal"/>
        <s v="Doméstico"/>
        <s v="Frutas"/>
        <s v="Material de oficina"/>
        <s v="Ropa"/>
        <s v="Snacks"/>
        <s v="Verduras"/>
      </sharedItems>
    </cacheField>
    <cacheField name="[Measures].[Ganancia 1]" caption="Ganancia 1" numFmtId="0" hierarchy="28" level="32767"/>
    <cacheField name="[Measures].[Margen de ventas]" caption="Margen de ventas" numFmtId="0" hierarchy="29" level="32767"/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0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>
      <fieldsUsage count="2">
        <fieldUsage x="-1"/>
        <fieldUsage x="0"/>
      </fieldsUsage>
    </cacheHierarchy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 oneField="1">
      <fieldsUsage count="1">
        <fieldUsage x="1"/>
      </fieldsUsage>
    </cacheHierarchy>
    <cacheHierarchy uniqueName="[Measures].[Margen de ventas]" caption="Margen de ventas" measure="1" displayFolder="" measureGroup="Hechos" count="0" oneField="1">
      <fieldsUsage count="1">
        <fieldUsage x="2"/>
      </fieldsUsage>
    </cacheHierarchy>
    <cacheHierarchy uniqueName="[Measures].[Ganancia sobre ventas]" caption="Ganancia sobr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3.706029629633" createdVersion="5" refreshedVersion="8" minRefreshableVersion="3" recordCount="0" supportSubquery="1" supportAdvancedDrill="1" xr:uid="{695FE1CD-000A-4AD9-96E1-73DCD454308A}">
  <cacheSource type="external" connectionId="5"/>
  <cacheFields count="2">
    <cacheField name="[Calendario].[Año].[Año]" caption="Año" numFmtId="0" hierarchy="1" level="1">
      <sharedItems containsSemiMixedTypes="0" containsString="0" containsNumber="1" containsInteger="1" minValue="2020" maxValue="2022" count="3"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0]"/>
            <x15:cachedUniqueName index="1" name="[Calendario].[Año].&amp;[2021]"/>
            <x15:cachedUniqueName index="2" name="[Calendario].[Año].&amp;[2022]"/>
          </x15:cachedUniqueNames>
        </ext>
      </extLst>
    </cacheField>
    <cacheField name="[Measures].[Total venta]" caption="Total venta" numFmtId="0" hierarchy="26" level="32767"/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0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0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 oneField="1">
      <fieldsUsage count="1">
        <fieldUsage x="1"/>
      </fieldsUsage>
    </cacheHierarchy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/>
    <cacheHierarchy uniqueName="[Measures].[Ganancia sobre ventas]" caption="Ganancia sobr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3.793860300924" createdVersion="5" refreshedVersion="8" minRefreshableVersion="3" recordCount="0" supportSubquery="1" supportAdvancedDrill="1" xr:uid="{0AD30970-FCC6-4E45-9464-21BD11D1633F}">
  <cacheSource type="external" connectionId="5"/>
  <cacheFields count="6">
    <cacheField name="[Calendario].[Mes].[Mes]" caption="Mes" numFmtId="0" hierarchy="4" level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[Measures].[Suma de Importe venta total]" caption="Suma de Importe venta total" numFmtId="0" hierarchy="25" level="32767"/>
    <cacheField name="[Calendario].[Año].[Año]" caption="Año" numFmtId="0" hierarchy="1" level="1">
      <sharedItems containsSemiMixedTypes="0" containsString="0" containsNumber="1" containsInteger="1" minValue="2020" maxValue="2022" count="3"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0]"/>
            <x15:cachedUniqueName index="1" name="[Calendario].[Año].&amp;[2021]"/>
            <x15:cachedUniqueName index="2" name="[Calendario].[Año].&amp;[2022]"/>
          </x15:cachedUniqueNames>
        </ext>
      </extLst>
    </cacheField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2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3"/>
        <fieldUsage x="4"/>
        <fieldUsage x="5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Hechos].[Ganancia]" caption="Ganancia" attribute="1" defaultMemberUniqueName="[Hechos].[Ganancia].[All]" allUniqueName="[Hechos].[Ganancia].[All]" dimensionUniqueName="[Hechos]" displayFolder="" count="2" memberValueDatatype="5" unbalanced="0"/>
    <cacheHierarchy uniqueName="[Measures].[Suma de Importe venta total]" caption="Suma de Importe venta total" measure="1" displayFolder="" measureGroup="Hech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/>
    <cacheHierarchy uniqueName="[Measures].[Ganancia sobre ventas]" caption="Ganancia sobr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3.793860995371" createdVersion="5" refreshedVersion="8" minRefreshableVersion="3" recordCount="0" supportSubquery="1" supportAdvancedDrill="1" xr:uid="{96D5E91D-E336-41E6-8E8C-3764FCBB95AB}">
  <cacheSource type="external" connectionId="5"/>
  <cacheFields count="5">
    <cacheField name="[Dim_Productos].[Tipo de producto].[Tipo de producto]" caption="Tipo de producto" numFmtId="0" hierarchy="12" level="1">
      <sharedItems count="12">
        <s v="Alimento infantil"/>
        <s v="Bebida"/>
        <s v="Cárnicos"/>
        <s v="Cereales"/>
        <s v="Cosméticos"/>
        <s v="Cuidado personal"/>
        <s v="Doméstico"/>
        <s v="Frutas"/>
        <s v="Material de oficina"/>
        <s v="Ropa"/>
        <s v="Snacks"/>
        <s v="Verduras"/>
      </sharedItems>
    </cacheField>
    <cacheField name="[Measures].[Suma de Importe venta total]" caption="Suma de Importe venta total" numFmtId="0" hierarchy="25" level="32767"/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2"/>
        <fieldUsage x="3"/>
        <fieldUsage x="4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>
      <fieldsUsage count="2">
        <fieldUsage x="-1"/>
        <fieldUsage x="0"/>
      </fieldsUsage>
    </cacheHierarchy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Hechos].[Ganancia]" caption="Ganancia" attribute="1" defaultMemberUniqueName="[Hechos].[Ganancia].[All]" allUniqueName="[Hechos].[Ganancia].[All]" dimensionUniqueName="[Hechos]" displayFolder="" count="2" memberValueDatatype="5" unbalanced="0"/>
    <cacheHierarchy uniqueName="[Measures].[Suma de Importe venta total]" caption="Suma de Importe venta total" measure="1" displayFolder="" measureGroup="Hech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/>
    <cacheHierarchy uniqueName="[Measures].[Ganancia sobre ventas]" caption="Ganancia sobr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3.793861458333" createdVersion="5" refreshedVersion="8" minRefreshableVersion="3" recordCount="0" supportSubquery="1" supportAdvancedDrill="1" xr:uid="{D4FA2AE5-D5AC-4CA6-9785-DB35F37934CB}">
  <cacheSource type="external" connectionId="5"/>
  <cacheFields count="5">
    <cacheField name="[Dim_Clientes].[País].[País]" caption="País" numFmtId="0" hierarchy="10" level="1">
      <sharedItems count="10">
        <s v="Andorra"/>
        <s v="Czech Republic"/>
        <s v="Equatorial Guinea"/>
        <s v="Iran"/>
        <s v="Liberia"/>
        <s v="Lithuania"/>
        <s v="Malaysia"/>
        <s v="Romania"/>
        <s v="Thailand"/>
        <s v="The Gambia"/>
      </sharedItems>
    </cacheField>
    <cacheField name="[Measures].[Suma de Importe venta total]" caption="Suma de Importe venta total" numFmtId="0" hierarchy="25" level="32767"/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2"/>
        <fieldUsage x="3"/>
        <fieldUsage x="4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>
      <fieldsUsage count="2">
        <fieldUsage x="-1"/>
        <fieldUsage x="0"/>
      </fieldsUsage>
    </cacheHierarchy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Hechos].[Ganancia]" caption="Ganancia" attribute="1" defaultMemberUniqueName="[Hechos].[Ganancia].[All]" allUniqueName="[Hechos].[Ganancia].[All]" dimensionUniqueName="[Hechos]" displayFolder="" count="2" memberValueDatatype="5" unbalanced="0"/>
    <cacheHierarchy uniqueName="[Measures].[Suma de Importe venta total]" caption="Suma de Importe venta total" measure="1" displayFolder="" measureGroup="Hecho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/>
    <cacheHierarchy uniqueName="[Measures].[Ganancia sobre ventas]" caption="Ganancia sobr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3.793861805556" createdVersion="5" refreshedVersion="8" minRefreshableVersion="3" recordCount="0" supportSubquery="1" supportAdvancedDrill="1" xr:uid="{0092E16F-8092-4ABF-8A41-52157EE187D1}">
  <cacheSource type="external" connectionId="5"/>
  <cacheFields count="6">
    <cacheField name="[Measures].[Total venta]" caption="Total venta" numFmtId="0" hierarchy="26" level="32767"/>
    <cacheField name="[Measures].[Margen de ventas]" caption="Margen de ventas" numFmtId="0" hierarchy="29" level="32767"/>
    <cacheField name="[Measures].[Ganancia sobre ventas]" caption="Ganancia sobre ventas" numFmtId="0" hierarchy="30" level="32767"/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3"/>
        <fieldUsage x="4"/>
        <fieldUsage x="5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 oneField="1">
      <fieldsUsage count="1">
        <fieldUsage x="0"/>
      </fieldsUsage>
    </cacheHierarchy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 oneField="1">
      <fieldsUsage count="1">
        <fieldUsage x="1"/>
      </fieldsUsage>
    </cacheHierarchy>
    <cacheHierarchy uniqueName="[Measures].[Ganancia sobre ventas]" caption="Ganancia sobre ventas" measure="1" displayFolder="" measureGroup="Hechos" count="0" oneField="1">
      <fieldsUsage count="1">
        <fieldUsage x="2"/>
      </fieldsUsage>
    </cacheHierarchy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3.793862152779" createdVersion="5" refreshedVersion="8" minRefreshableVersion="3" recordCount="0" supportSubquery="1" supportAdvancedDrill="1" xr:uid="{B7FD7919-A55A-42E5-B0DA-932CFA4F6E74}">
  <cacheSource type="external" connectionId="5"/>
  <cacheFields count="6">
    <cacheField name="[Measures].[Total venta]" caption="Total venta" numFmtId="0" hierarchy="26" level="32767"/>
    <cacheField name="[Measures].[Margen de ventas]" caption="Margen de ventas" numFmtId="0" hierarchy="29" level="32767"/>
    <cacheField name="[Measures].[Ganancia sobre ventas]" caption="Ganancia sobre ventas" numFmtId="0" hierarchy="30" level="32767"/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3"/>
        <fieldUsage x="4"/>
        <fieldUsage x="5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 oneField="1">
      <fieldsUsage count="1">
        <fieldUsage x="0"/>
      </fieldsUsage>
    </cacheHierarchy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 oneField="1">
      <fieldsUsage count="1">
        <fieldUsage x="1"/>
      </fieldsUsage>
    </cacheHierarchy>
    <cacheHierarchy uniqueName="[Measures].[Ganancia sobre ventas]" caption="Ganancia sobre ventas" measure="1" displayFolder="" measureGroup="Hechos" count="0" oneField="1">
      <fieldsUsage count="1">
        <fieldUsage x="2"/>
      </fieldsUsage>
    </cacheHierarchy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len Seubart" refreshedDate="46323.693232175923" createdVersion="3" refreshedVersion="8" minRefreshableVersion="3" recordCount="0" supportSubquery="1" supportAdvancedDrill="1" xr:uid="{4C3965B3-F37C-4359-9E7B-6CCE69893387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Measures].[Suma de Importe venta total]" caption="Suma de Importe venta total" measure="1" displayFolder="" measureGroup="Hecho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1]" caption="Ganancia 1" measure="1" displayFolder="" measureGroup="Hechos" count="0"/>
    <cacheHierarchy uniqueName="[Measures].[Margen de ventas]" caption="Margen de ventas" measure="1" displayFolder="" measureGroup="Hechos" count="0"/>
    <cacheHierarchy uniqueName="[Measures].[Ganancia sobre ventas]" caption="Ganancia sobre ventas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064375620"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4DEFD-8F18-4DD4-A5F9-1E232D9A4F04}" name="TablaDinámica2" cacheId="1" applyNumberFormats="0" applyBorderFormats="0" applyFontFormats="0" applyPatternFormats="0" applyAlignmentFormats="0" applyWidthHeightFormats="1" dataCaption="Valores" tag="89f96698-de22-4cd4-8811-9abdc6082e15" updatedVersion="8" minRefreshableVersion="3" useAutoFormatting="1" itemPrintTitles="1" createdVersion="5" indent="0" outline="1" outlineData="1" multipleFieldFilters="0">
  <location ref="B3:D16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3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]"/>
        <x15:activeTabTopLevelEntity name="[Dim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2E6FF-E4F5-4AAD-A8EB-72AC657AD262}" name="TablaDinámica1" cacheId="0" applyNumberFormats="0" applyBorderFormats="0" applyFontFormats="0" applyPatternFormats="0" applyAlignmentFormats="0" applyWidthHeightFormats="1" dataCaption="Valores" tag="907a6207-914c-44bf-91ef-1d5b87b7ebfd" updatedVersion="8" minRefreshableVersion="3" useAutoFormatting="1" itemPrintTitles="1" createdVersion="5" indent="0" compact="0" compactData="0" multipleFieldFilters="0">
  <location ref="B3:J40" firstHeaderRow="1" firstDataRow="2" firstDataCol="2" rowPageCount="1" colPageCount="1"/>
  <pivotFields count="5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0"/>
    <field x="4"/>
  </rowFields>
  <rowItems count="3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12" name="[Dim_Productos].[Tipo de producto].[All]" cap="All"/>
  </pageFields>
  <dataFields count="1">
    <dataField name="Suma de Importe venta total" fld="2" baseField="0" baseItem="0"/>
  </dataFields>
  <formats count="7">
    <format dxfId="27">
      <pivotArea outline="0" fieldPosition="0">
        <references count="1">
          <reference field="1" count="1" selected="0">
            <x v="0"/>
          </reference>
        </references>
      </pivotArea>
    </format>
    <format dxfId="26">
      <pivotArea field="1" type="button" dataOnly="0" labelOnly="1" outline="0" axis="axisCol" fieldPosition="0"/>
    </format>
    <format dxfId="25">
      <pivotArea dataOnly="0" labelOnly="1" outline="0" fieldPosition="0">
        <references count="1">
          <reference field="1" count="1">
            <x v="0"/>
          </reference>
        </references>
      </pivotArea>
    </format>
    <format dxfId="24">
      <pivotArea outline="0" fieldPosition="0">
        <references count="1">
          <reference field="1" count="1" selected="0">
            <x v="1"/>
          </reference>
        </references>
      </pivotArea>
    </format>
    <format dxfId="23">
      <pivotArea type="topRight" dataOnly="0" labelOnly="1" outline="0" fieldPosition="0"/>
    </format>
    <format dxfId="22">
      <pivotArea dataOnly="0" labelOnly="1" outline="0" fieldPosition="0">
        <references count="1">
          <reference field="1" count="1">
            <x v="1"/>
          </reference>
        </references>
      </pivotArea>
    </format>
    <format dxfId="21">
      <pivotArea outline="0" fieldPosition="0">
        <references count="1">
          <reference field="1" count="1" selected="0">
            <x v="2"/>
          </reference>
        </references>
      </pivotArea>
    </format>
  </formats>
  <pivotHierarchies count="3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Dim_Clientes]"/>
        <x15:activeTabTopLevelEntity name="[Hechos]"/>
        <x15:activeTabTopLevelEntity name="[Dim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FC4BD-5FF2-461A-AB67-D0285B71EC3F}" name="TablaDinámica3" cacheId="5" applyNumberFormats="0" applyBorderFormats="0" applyFontFormats="0" applyPatternFormats="0" applyAlignmentFormats="0" applyWidthHeightFormats="1" dataCaption="Valores" tag="942384c4-2368-46ad-bf7c-7c04df05f3bc" updatedVersion="8" minRefreshableVersion="3" useAutoFormatting="1" itemPrintTitles="1" createdVersion="5" indent="0" outline="1" outlineData="1" multipleFieldFilters="0" chartFormat="6">
  <location ref="B3:C14" firstHeaderRow="1" firstDataRow="1" firstDataCol="1"/>
  <pivotFields count="5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mporte venta total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25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es]"/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D56CA-5B43-41AA-9739-667D6184116D}" name="TablaDinámica4" cacheId="6" applyNumberFormats="0" applyBorderFormats="0" applyFontFormats="0" applyPatternFormats="0" applyAlignmentFormats="0" applyWidthHeightFormats="1" dataCaption="Valores" tag="6e060458-7402-47af-bb4b-7f184ec4e120" updatedVersion="8" minRefreshableVersion="3" useAutoFormatting="1" itemPrintTitles="1" createdVersion="5" indent="0" outline="1" outlineData="1" multipleFieldFilters="0">
  <location ref="B3:D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1" numFmtId="10"/>
    <dataField fld="2" subtotal="count" baseField="0" baseItem="0" numFmtId="44"/>
  </dataFields>
  <formats count="1"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3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8C018-4822-40DC-87E9-AD0C9C428FA1}" name="TablaDinámica5" cacheId="2" applyNumberFormats="0" applyBorderFormats="0" applyFontFormats="0" applyPatternFormats="0" applyAlignmentFormats="0" applyWidthHeightFormats="1" dataCaption="Valores" tag="fb6def1f-4af9-4783-b1cf-8da68ea3248f" updatedVersion="8" minRefreshableVersion="3" useAutoFormatting="1" itemPrintTitles="1" createdVersion="5" indent="0" outline="1" outlineData="1" multipleFieldFilters="0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3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363EA-A5BC-40D2-B7CD-040103434783}" name="TablaDinámica1" cacheId="3" applyNumberFormats="0" applyBorderFormats="0" applyFontFormats="0" applyPatternFormats="0" applyAlignmentFormats="0" applyWidthHeightFormats="1" dataCaption="Valores" tag="334e4f6d-8ea7-43e0-945e-d3b256ea7fe9" updatedVersion="8" minRefreshableVersion="3" useAutoFormatting="1" itemPrintTitles="1" createdVersion="5" indent="0" outline="1" outlineData="1" multipleFieldFilters="0" chartFormat="4">
  <location ref="B3:C42" firstHeaderRow="1" firstDataRow="1" firstDataCol="1"/>
  <pivotFields count="6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2">
    <field x="2"/>
    <field x="0"/>
  </rowFields>
  <rowItems count="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a de Importe venta total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Hechos]"/>
        <x15:activeTabTopLevelEntity name="[Dim_Productos]"/>
        <x15:activeTabTopLevelEntity name="[Dim_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531ED-515B-4FEF-8D0F-1DBF614AE73C}" name="TablaDinámica2" cacheId="4" applyNumberFormats="0" applyBorderFormats="0" applyFontFormats="0" applyPatternFormats="0" applyAlignmentFormats="0" applyWidthHeightFormats="1" dataCaption="Valores" tag="62761170-8d96-4835-9e1b-c6b4a6bfade1" updatedVersion="8" minRefreshableVersion="3" useAutoFormatting="1" itemPrintTitles="1" createdVersion="5" indent="0" outline="1" outlineData="1" multipleFieldFilters="0" chartFormat="4">
  <location ref="B3:C16" firstHeaderRow="1" firstDataRow="1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Importe venta total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os]"/>
        <x15:activeTabTopLevelEntity name="[Hechos]"/>
        <x15:activeTabTopLevelEntity name="[Calendario]"/>
        <x15:activeTabTopLevelEntity name="[Dim_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33FBE-DD81-4D6B-BD92-63F7E1377FF3}" name="TablaDinámica6" cacheId="7" applyNumberFormats="0" applyBorderFormats="0" applyFontFormats="0" applyPatternFormats="0" applyAlignmentFormats="0" applyWidthHeightFormats="1" dataCaption="Valores" tag="a6ee0fdb-6587-4ea4-b2eb-f6f1f980058a" updatedVersion="8" minRefreshableVersion="3" useAutoFormatting="1" itemPrintTitles="1" createdVersion="5" indent="0" outline="1" outlineData="1" multipleFieldFilters="0">
  <location ref="I5:K6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1" numFmtId="10"/>
    <dataField name="Ganancia" fld="2" subtotal="count" baseField="0" baseItem="0" numFmtId="44"/>
  </dataFields>
  <formats count="8"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6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Ganancia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B6751B5-BEF5-4A07-ABF8-81D195EEC691}" autoFormatId="16" applyNumberFormats="0" applyBorderFormats="0" applyFontFormats="0" applyPatternFormats="0" applyAlignmentFormats="0" applyWidthHeightFormats="0">
  <queryTableRefresh nextId="12">
    <queryTableFields count="11">
      <queryTableField id="1" name="ID Cliente" tableColumnId="1"/>
      <queryTableField id="2" name="ID PRODUCTO" tableColumnId="2"/>
      <queryTableField id="3" name="Prioridad" tableColumnId="3"/>
      <queryTableField id="4" name="Fecha pedido" tableColumnId="4"/>
      <queryTableField id="5" name="ID Pedido" tableColumnId="5"/>
      <queryTableField id="6" name="Fecha envío" tableColumnId="6"/>
      <queryTableField id="7" name="Unidades" tableColumnId="7"/>
      <queryTableField id="8" name="Precio Unitario" tableColumnId="8"/>
      <queryTableField id="9" name="Coste unitario" tableColumnId="9"/>
      <queryTableField id="10" name="Importe venta total" tableColumnId="10"/>
      <queryTableField id="11" name="Importe Coste tota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FF38D8E9-711B-4EA6-B157-D0367A7DF277}" autoFormatId="16" applyNumberFormats="0" applyBorderFormats="0" applyFontFormats="0" applyPatternFormats="0" applyAlignmentFormats="0" applyWidthHeightFormats="0">
  <queryTableRefresh nextId="7">
    <queryTableFields count="3">
      <queryTableField id="4" name="ID Cliente" tableColumnId="4"/>
      <queryTableField id="5" name="Zona" tableColumnId="5"/>
      <queryTableField id="6" name="Paí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5AFFED61-1AFC-4E51-9128-D90221C7E978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Tipo de producto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erarquía_de_fechas" xr10:uid="{BCAD503A-06F7-4D5B-A66A-1C6DC97A968F}" sourceName="[Calendario].[Jerarquía de fechas]">
  <pivotTables>
    <pivotTable tabId="12" name="TablaDinámica1"/>
    <pivotTable tabId="13" name="TablaDinámica2"/>
    <pivotTable tabId="14" name="TablaDinámica3"/>
    <pivotTable tabId="16" name="TablaDinámica4"/>
    <pivotTable tabId="11" name="TablaDinámica6"/>
  </pivotTables>
  <data>
    <olap pivotCacheId="2064375620">
      <levels count="4">
        <level uniqueName="[Calendario].[Jerarquía de fechas].[(All)]" sourceCaption="(All)" count="0"/>
        <level uniqueName="[Calendario].[Jerarquía de fechas].[Año]" sourceCaption="Año" count="3">
          <ranges>
            <range startItem="0">
              <i n="[Calendario].[Jerarquía de fechas].[Año].&amp;[2020]" c="2020"/>
              <i n="[Calendario].[Jerarquía de fechas].[Año].&amp;[2021]" c="2021"/>
              <i n="[Calendario].[Jerarquía de fechas].[Año].&amp;[2022]" c="2022"/>
            </range>
          </ranges>
        </level>
        <level uniqueName="[Calendario].[Jerarquía de fechas].[Mes]" sourceCaption="Mes" count="0"/>
        <level uniqueName="[Calendario].[Jerarquía de fechas].[DateColumn]" sourceCaption="DateColumn" count="0"/>
      </levels>
      <selections count="1">
        <selection n="[Calendario].[Jerarquía de fecha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producto" xr10:uid="{5A0F58B6-52E6-4FAD-875D-687C2C37F06A}" sourceName="[Dim_Productos].[Tipo de producto]">
  <pivotTables>
    <pivotTable tabId="13" name="TablaDinámica2"/>
    <pivotTable tabId="12" name="TablaDinámica1"/>
    <pivotTable tabId="14" name="TablaDinámica3"/>
    <pivotTable tabId="16" name="TablaDinámica4"/>
    <pivotTable tabId="11" name="TablaDinámica6"/>
  </pivotTables>
  <data>
    <olap pivotCacheId="2064375620">
      <levels count="2">
        <level uniqueName="[Dim_Productos].[Tipo de producto].[(All)]" sourceCaption="(All)" count="0"/>
        <level uniqueName="[Dim_Productos].[Tipo de producto].[Tipo de producto]" sourceCaption="Tipo de producto" count="12">
          <ranges>
            <range startItem="0">
              <i n="[Dim_Productos].[Tipo de producto].&amp;[Alimento infantil]" c="Alimento infantil"/>
              <i n="[Dim_Productos].[Tipo de producto].&amp;[Bebida]" c="Bebida"/>
              <i n="[Dim_Productos].[Tipo de producto].&amp;[Cárnicos]" c="Cárnicos"/>
              <i n="[Dim_Productos].[Tipo de producto].&amp;[Cereales]" c="Cereales"/>
              <i n="[Dim_Productos].[Tipo de producto].&amp;[Cosméticos]" c="Cosméticos"/>
              <i n="[Dim_Productos].[Tipo de producto].&amp;[Cuidado personal]" c="Cuidado personal"/>
              <i n="[Dim_Productos].[Tipo de producto].&amp;[Doméstico]" c="Doméstico"/>
              <i n="[Dim_Productos].[Tipo de producto].&amp;[Frutas]" c="Frutas"/>
              <i n="[Dim_Productos].[Tipo de producto].&amp;[Material de oficina]" c="Material de oficina"/>
              <i n="[Dim_Productos].[Tipo de producto].&amp;[Ropa]" c="Ropa"/>
              <i n="[Dim_Productos].[Tipo de producto].&amp;[Snacks]" c="Snacks"/>
              <i n="[Dim_Productos].[Tipo de producto].&amp;[Verduras]" c="Verduras"/>
            </range>
          </ranges>
        </level>
      </levels>
      <selections count="1">
        <selection n="[Dim_Productos].[Tipo de produc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" xr10:uid="{D5032BC2-6129-4053-AE31-DE7838305665}" sourceName="[Dim_Clientes].[País]">
  <pivotTables>
    <pivotTable tabId="14" name="TablaDinámica3"/>
    <pivotTable tabId="12" name="TablaDinámica1"/>
    <pivotTable tabId="13" name="TablaDinámica2"/>
    <pivotTable tabId="16" name="TablaDinámica4"/>
    <pivotTable tabId="11" name="TablaDinámica6"/>
  </pivotTables>
  <data>
    <olap pivotCacheId="2064375620">
      <levels count="2">
        <level uniqueName="[Dim_Clientes].[País].[(All)]" sourceCaption="(All)" count="0"/>
        <level uniqueName="[Dim_Clientes].[País].[País]" sourceCaption="País" count="184">
          <ranges>
            <range startItem="0">
              <i n="[Dim_Clientes].[País].&amp;[Afghanistan]" c="Afghanistan"/>
              <i n="[Dim_Clientes].[País].&amp;[Albania]" c="Albania"/>
              <i n="[Dim_Clientes].[País].&amp;[Algeria]" c="Algeria"/>
              <i n="[Dim_Clientes].[País].&amp;[Andorra]" c="Andorra"/>
              <i n="[Dim_Clientes].[País].&amp;[Angola]" c="Angola"/>
              <i n="[Dim_Clientes].[País].&amp;[Antigua and Barbuda]" c="Antigua and Barbuda"/>
              <i n="[Dim_Clientes].[País].&amp;[Armenia]" c="Armenia"/>
              <i n="[Dim_Clientes].[País].&amp;[Australia]" c="Australia"/>
              <i n="[Dim_Clientes].[País].&amp;[Austria]" c="Austria"/>
              <i n="[Dim_Clientes].[País].&amp;[Azerbaijan]" c="Azerbaijan"/>
              <i n="[Dim_Clientes].[País].&amp;[Bahrain]" c="Bahrain"/>
              <i n="[Dim_Clientes].[País].&amp;[Bangladesh]" c="Bangladesh"/>
              <i n="[Dim_Clientes].[País].&amp;[Barbados]" c="Barbados"/>
              <i n="[Dim_Clientes].[País].&amp;[Belarus]" c="Belarus"/>
              <i n="[Dim_Clientes].[País].&amp;[Belgium]" c="Belgium"/>
              <i n="[Dim_Clientes].[País].&amp;[Belize]" c="Belize"/>
              <i n="[Dim_Clientes].[País].&amp;[Benin]" c="Benin"/>
              <i n="[Dim_Clientes].[País].&amp;[Bhutan]" c="Bhutan"/>
              <i n="[Dim_Clientes].[País].&amp;[Bosnia and Herzegovina]" c="Bosnia and Herzegovina"/>
              <i n="[Dim_Clientes].[País].&amp;[Botswana]" c="Botswana"/>
              <i n="[Dim_Clientes].[País].&amp;[Brunei]" c="Brunei"/>
              <i n="[Dim_Clientes].[País].&amp;[Bulgaria]" c="Bulgaria"/>
              <i n="[Dim_Clientes].[País].&amp;[Burkina Faso]" c="Burkina Faso"/>
              <i n="[Dim_Clientes].[País].&amp;[Burundi]" c="Burundi"/>
              <i n="[Dim_Clientes].[País].&amp;[Cambodia]" c="Cambodia"/>
              <i n="[Dim_Clientes].[País].&amp;[Cameroon]" c="Cameroon"/>
              <i n="[Dim_Clientes].[País].&amp;[Canada]" c="Canada"/>
              <i n="[Dim_Clientes].[País].&amp;[Cape Verde]" c="Cape Verde"/>
              <i n="[Dim_Clientes].[País].&amp;[Central African Republic]" c="Central African Republic"/>
              <i n="[Dim_Clientes].[País].&amp;[Chad]" c="Chad"/>
              <i n="[Dim_Clientes].[País].&amp;[China]" c="China"/>
              <i n="[Dim_Clientes].[País].&amp;[Comoros]" c="Comoros"/>
              <i n="[Dim_Clientes].[País].&amp;[Costa Rica]" c="Costa Rica"/>
              <i n="[Dim_Clientes].[País].&amp;[Cote d'Ivoire]" c="Cote d'Ivoire"/>
              <i n="[Dim_Clientes].[País].&amp;[Croatia]" c="Croatia"/>
              <i n="[Dim_Clientes].[País].&amp;[Cuba]" c="Cuba"/>
              <i n="[Dim_Clientes].[País].&amp;[Cyprus]" c="Cyprus"/>
              <i n="[Dim_Clientes].[País].&amp;[Czech Republic]" c="Czech Republic"/>
              <i n="[Dim_Clientes].[País].&amp;[Democratic Republic of the Congo]" c="Democratic Republic of the Congo"/>
              <i n="[Dim_Clientes].[País].&amp;[Djibouti]" c="Djibouti"/>
              <i n="[Dim_Clientes].[País].&amp;[Dominica]" c="Dominica"/>
              <i n="[Dim_Clientes].[País].&amp;[Dominican Republic]" c="Dominican Republic"/>
              <i n="[Dim_Clientes].[País].&amp;[East Timor]" c="East Timor"/>
              <i n="[Dim_Clientes].[País].&amp;[Egypt]" c="Egypt"/>
              <i n="[Dim_Clientes].[País].&amp;[El Salvador]" c="El Salvador"/>
              <i n="[Dim_Clientes].[País].&amp;[Equatorial Guinea]" c="Equatorial Guinea"/>
              <i n="[Dim_Clientes].[País].&amp;[Eritrea]" c="Eritrea"/>
              <i n="[Dim_Clientes].[País].&amp;[Estonia]" c="Estonia"/>
              <i n="[Dim_Clientes].[País].&amp;[Ethiopia]" c="Ethiopia"/>
              <i n="[Dim_Clientes].[País].&amp;[Federated States of Micronesia]" c="Federated States of Micronesia"/>
              <i n="[Dim_Clientes].[País].&amp;[Fiji]" c="Fiji"/>
              <i n="[Dim_Clientes].[País].&amp;[Finland]" c="Finland"/>
              <i n="[Dim_Clientes].[País].&amp;[France]" c="France"/>
              <i n="[Dim_Clientes].[País].&amp;[Gabon]" c="Gabon"/>
              <i n="[Dim_Clientes].[País].&amp;[Georgia]" c="Georgia"/>
              <i n="[Dim_Clientes].[País].&amp;[Germany]" c="Germany"/>
              <i n="[Dim_Clientes].[País].&amp;[Ghana]" c="Ghana"/>
              <i n="[Dim_Clientes].[País].&amp;[Greece]" c="Greece"/>
              <i n="[Dim_Clientes].[País].&amp;[Greenland]" c="Greenland"/>
              <i n="[Dim_Clientes].[País].&amp;[Grenada]" c="Grenada"/>
              <i n="[Dim_Clientes].[País].&amp;[Guatemala]" c="Guatemala"/>
              <i n="[Dim_Clientes].[País].&amp;[Guinea]" c="Guinea"/>
              <i n="[Dim_Clientes].[País].&amp;[Guinea-Bissau]" c="Guinea-Bissau"/>
              <i n="[Dim_Clientes].[País].&amp;[Haiti]" c="Haiti"/>
              <i n="[Dim_Clientes].[País].&amp;[Honduras]" c="Honduras"/>
              <i n="[Dim_Clientes].[País].&amp;[Hungary]" c="Hungary"/>
              <i n="[Dim_Clientes].[País].&amp;[Iceland]" c="Iceland"/>
              <i n="[Dim_Clientes].[País].&amp;[India]" c="India"/>
              <i n="[Dim_Clientes].[País].&amp;[Indonesia]" c="Indonesia"/>
              <i n="[Dim_Clientes].[País].&amp;[Iran]" c="Iran"/>
              <i n="[Dim_Clientes].[País].&amp;[Iraq]" c="Iraq"/>
              <i n="[Dim_Clientes].[País].&amp;[Ireland]" c="Ireland"/>
              <i n="[Dim_Clientes].[País].&amp;[Israel]" c="Israel"/>
              <i n="[Dim_Clientes].[País].&amp;[Italy]" c="Italy"/>
              <i n="[Dim_Clientes].[País].&amp;[Jamaica]" c="Jamaica"/>
              <i n="[Dim_Clientes].[País].&amp;[Japan]" c="Japan"/>
              <i n="[Dim_Clientes].[País].&amp;[Jordan]" c="Jordan"/>
              <i n="[Dim_Clientes].[País].&amp;[Kazakhstan]" c="Kazakhstan"/>
              <i n="[Dim_Clientes].[País].&amp;[Kenya]" c="Kenya"/>
              <i n="[Dim_Clientes].[País].&amp;[Kiribati]" c="Kiribati"/>
              <i n="[Dim_Clientes].[País].&amp;[Kosovo]" c="Kosovo"/>
              <i n="[Dim_Clientes].[País].&amp;[Kuwait]" c="Kuwait"/>
              <i n="[Dim_Clientes].[País].&amp;[Kyrgyzstan]" c="Kyrgyzstan"/>
              <i n="[Dim_Clientes].[País].&amp;[Laos]" c="Laos"/>
              <i n="[Dim_Clientes].[País].&amp;[Latvia]" c="Latvia"/>
              <i n="[Dim_Clientes].[País].&amp;[Lebanon]" c="Lebanon"/>
              <i n="[Dim_Clientes].[País].&amp;[Lesotho]" c="Lesotho"/>
              <i n="[Dim_Clientes].[País].&amp;[Liberia]" c="Liberia"/>
              <i n="[Dim_Clientes].[País].&amp;[Libya]" c="Libya"/>
              <i n="[Dim_Clientes].[País].&amp;[Liechtenstein]" c="Liechtenstein"/>
              <i n="[Dim_Clientes].[País].&amp;[Lithuania]" c="Lithuania"/>
              <i n="[Dim_Clientes].[País].&amp;[Luxembourg]" c="Luxembourg"/>
              <i n="[Dim_Clientes].[País].&amp;[Macedonia]" c="Macedonia"/>
              <i n="[Dim_Clientes].[País].&amp;[Madagascar]" c="Madagascar"/>
              <i n="[Dim_Clientes].[País].&amp;[Malawi]" c="Malawi"/>
              <i n="[Dim_Clientes].[País].&amp;[Malaysia]" c="Malaysia"/>
              <i n="[Dim_Clientes].[País].&amp;[Maldives]" c="Maldives"/>
              <i n="[Dim_Clientes].[País].&amp;[Mali]" c="Mali"/>
              <i n="[Dim_Clientes].[País].&amp;[Malta]" c="Malta"/>
              <i n="[Dim_Clientes].[País].&amp;[Marshall Islands]" c="Marshall Islands"/>
              <i n="[Dim_Clientes].[País].&amp;[Mauritania]" c="Mauritania"/>
              <i n="[Dim_Clientes].[País].&amp;[Mauritius]" c="Mauritius"/>
              <i n="[Dim_Clientes].[País].&amp;[Mexico]" c="Mexico"/>
              <i n="[Dim_Clientes].[País].&amp;[Moldova]" c="Moldova"/>
              <i n="[Dim_Clientes].[País].&amp;[Monaco]" c="Monaco"/>
              <i n="[Dim_Clientes].[País].&amp;[Mongolia]" c="Mongolia"/>
              <i n="[Dim_Clientes].[País].&amp;[Montenegro]" c="Montenegro"/>
              <i n="[Dim_Clientes].[País].&amp;[Morocco]" c="Morocco"/>
              <i n="[Dim_Clientes].[País].&amp;[Mozambique]" c="Mozambique"/>
              <i n="[Dim_Clientes].[País].&amp;[Myanmar]" c="Myanmar"/>
              <i n="[Dim_Clientes].[País].&amp;[Namibia]" c="Namibia"/>
              <i n="[Dim_Clientes].[País].&amp;[Nauru]" c="Nauru"/>
              <i n="[Dim_Clientes].[País].&amp;[Nepal]" c="Nepal"/>
              <i n="[Dim_Clientes].[País].&amp;[Netherlands]" c="Netherlands"/>
              <i n="[Dim_Clientes].[País].&amp;[New Zealand]" c="New Zealand"/>
              <i n="[Dim_Clientes].[País].&amp;[Nicaragua]" c="Nicaragua"/>
              <i n="[Dim_Clientes].[País].&amp;[Niger]" c="Niger"/>
              <i n="[Dim_Clientes].[País].&amp;[Nigeria]" c="Nigeria"/>
              <i n="[Dim_Clientes].[País].&amp;[North Korea]" c="North Korea"/>
              <i n="[Dim_Clientes].[País].&amp;[Norway]" c="Norway"/>
              <i n="[Dim_Clientes].[País].&amp;[Oman]" c="Oman"/>
              <i n="[Dim_Clientes].[País].&amp;[Pakistan]" c="Pakistan"/>
              <i n="[Dim_Clientes].[País].&amp;[Palau]" c="Palau"/>
              <i n="[Dim_Clientes].[País].&amp;[Panama]" c="Panama"/>
              <i n="[Dim_Clientes].[País].&amp;[Papua New Guinea]" c="Papua New Guinea"/>
              <i n="[Dim_Clientes].[País].&amp;[Philippines]" c="Philippines"/>
              <i n="[Dim_Clientes].[País].&amp;[Poland]" c="Poland"/>
              <i n="[Dim_Clientes].[País].&amp;[Portugal]" c="Portugal"/>
              <i n="[Dim_Clientes].[País].&amp;[Qatar]" c="Qatar"/>
              <i n="[Dim_Clientes].[País].&amp;[Republic of the Congo]" c="Republic of the Congo"/>
              <i n="[Dim_Clientes].[País].&amp;[Romania]" c="Romania"/>
              <i n="[Dim_Clientes].[País].&amp;[Russia]" c="Russia"/>
              <i n="[Dim_Clientes].[País].&amp;[Rwanda]" c="Rwanda"/>
              <i n="[Dim_Clientes].[País].&amp;[Saint Kitts and Nevis]" c="Saint Kitts and Nevis"/>
              <i n="[Dim_Clientes].[País].&amp;[Saint Lucia]" c="Saint Lucia"/>
              <i n="[Dim_Clientes].[País].&amp;[Saint Vincent and the Grenadines]" c="Saint Vincent and the Grenadines"/>
              <i n="[Dim_Clientes].[País].&amp;[Samoa]" c="Samoa"/>
              <i n="[Dim_Clientes].[País].&amp;[San Marino]" c="San Marino"/>
              <i n="[Dim_Clientes].[País].&amp;[Sao Tome and Principe]" c="Sao Tome and Principe"/>
              <i n="[Dim_Clientes].[País].&amp;[Saudi Arabia]" c="Saudi Arabia"/>
              <i n="[Dim_Clientes].[País].&amp;[Senegal]" c="Senegal"/>
              <i n="[Dim_Clientes].[País].&amp;[Serbia]" c="Serbia"/>
              <i n="[Dim_Clientes].[País].&amp;[Seychelles]" c="Seychelles"/>
              <i n="[Dim_Clientes].[País].&amp;[Sierra Leone]" c="Sierra Leone"/>
              <i n="[Dim_Clientes].[País].&amp;[Singapore]" c="Singapore"/>
              <i n="[Dim_Clientes].[País].&amp;[Slovakia]" c="Slovakia"/>
              <i n="[Dim_Clientes].[País].&amp;[Slovenia]" c="Slovenia"/>
              <i n="[Dim_Clientes].[País].&amp;[Solomon Islands]" c="Solomon Islands"/>
              <i n="[Dim_Clientes].[País].&amp;[Somalia]" c="Somalia"/>
              <i n="[Dim_Clientes].[País].&amp;[South Africa]" c="South Africa"/>
              <i n="[Dim_Clientes].[País].&amp;[South Korea]" c="South Korea"/>
              <i n="[Dim_Clientes].[País].&amp;[South Sudan]" c="South Sudan"/>
              <i n="[Dim_Clientes].[País].&amp;[Spain]" c="Spain"/>
              <i n="[Dim_Clientes].[País].&amp;[Sri Lanka]" c="Sri Lanka"/>
              <i n="[Dim_Clientes].[País].&amp;[Sudan]" c="Sudan"/>
              <i n="[Dim_Clientes].[País].&amp;[Swaziland]" c="Swaziland"/>
              <i n="[Dim_Clientes].[País].&amp;[Sweden]" c="Sweden"/>
              <i n="[Dim_Clientes].[País].&amp;[Switzerland]" c="Switzerland"/>
              <i n="[Dim_Clientes].[País].&amp;[Syria]" c="Syria"/>
              <i n="[Dim_Clientes].[País].&amp;[Taiwan]" c="Taiwan"/>
              <i n="[Dim_Clientes].[País].&amp;[Tajikistan]" c="Tajikistan"/>
              <i n="[Dim_Clientes].[País].&amp;[Tanzania]" c="Tanzania"/>
              <i n="[Dim_Clientes].[País].&amp;[Thailand]" c="Thailand"/>
              <i n="[Dim_Clientes].[País].&amp;[The Bahamas]" c="The Bahamas"/>
              <i n="[Dim_Clientes].[País].&amp;[The Gambia]" c="The Gambia"/>
              <i n="[Dim_Clientes].[País].&amp;[Togo]" c="Togo"/>
              <i n="[Dim_Clientes].[País].&amp;[Tonga]" c="Tonga"/>
              <i n="[Dim_Clientes].[País].&amp;[Trinidad and Tobago]" c="Trinidad and Tobago"/>
              <i n="[Dim_Clientes].[País].&amp;[Tunisia]" c="Tunisia"/>
              <i n="[Dim_Clientes].[País].&amp;[Turkey]" c="Turkey"/>
              <i n="[Dim_Clientes].[País].&amp;[Turkmenistan]" c="Turkmenistan"/>
              <i n="[Dim_Clientes].[País].&amp;[Tuvalu]" c="Tuvalu"/>
              <i n="[Dim_Clientes].[País].&amp;[Uganda]" c="Uganda"/>
              <i n="[Dim_Clientes].[País].&amp;[Ukraine]" c="Ukraine"/>
              <i n="[Dim_Clientes].[País].&amp;[United Arab Emirates]" c="United Arab Emirates"/>
              <i n="[Dim_Clientes].[País].&amp;[United Kingdom]" c="United Kingdom"/>
              <i n="[Dim_Clientes].[País].&amp;[United States of America]" c="United States of America"/>
              <i n="[Dim_Clientes].[País].&amp;[Uzbekistan]" c="Uzbekistan"/>
              <i n="[Dim_Clientes].[País].&amp;[Vanuatu]" c="Vanuatu"/>
              <i n="[Dim_Clientes].[País].&amp;[Vatican City]" c="Vatican City"/>
              <i n="[Dim_Clientes].[País].&amp;[Vietnam]" c="Vietnam"/>
              <i n="[Dim_Clientes].[País].&amp;[Yemen]" c="Yemen"/>
              <i n="[Dim_Clientes].[País].&amp;[Zambia]" c="Zambia"/>
              <i n="[Dim_Clientes].[País].&amp;[Zimbabwe]" c="Zimbabwe"/>
            </range>
          </ranges>
        </level>
      </levels>
      <selections count="1">
        <selection n="[Dim_Clientes].[País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5576A29C-F2E3-4187-9A34-07DE215FDB37}" cache="SegmentaciónDeDatos_País" caption="País" level="1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7A668B2F-2A22-4631-A1BA-B82C72BFDFC1}" cache="SegmentaciónDeDatos_Jerarquía_de_fechas" caption="Año" level="1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producto" xr10:uid="{5406CF15-4CAD-41DA-8FAC-367E5540C80B}" cache="SegmentaciónDeDatos_Tipo_de_producto" caption="Tipo de producto" level="1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6FA894B0-F931-48D4-991F-BE36F4B88D26}" cache="SegmentaciónDeDatos_Jerarquía_de_fechas" caption="Año" level="1" rowHeight="251883"/>
  <slicer name="Tipo de producto 1" xr10:uid="{1CAE0748-DF18-40CD-B1D7-5474A004910B}" cache="SegmentaciónDeDatos_Tipo_de_producto" caption="Tipo de producto" level="1" rowHeight="251883"/>
  <slicer name="País 1" xr10:uid="{4734A539-64C4-4109-B6EC-D7C5C282880A}" cache="SegmentaciónDeDatos_País" caption="País" level="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B61F2A-5B01-4C7B-81F1-792F6956EE28}" name="Hechos" displayName="Hechos" ref="A1:K1001" tableType="queryTable" totalsRowShown="0">
  <autoFilter ref="A1:K1001" xr:uid="{8AB61F2A-5B01-4C7B-81F1-792F6956EE28}"/>
  <tableColumns count="11">
    <tableColumn id="1" xr3:uid="{FAC998EE-3D63-42AC-870D-3AA6F7F2415C}" uniqueName="1" name="ID Cliente" queryTableFieldId="1"/>
    <tableColumn id="2" xr3:uid="{BEEFCF39-68A8-49A2-AE05-F27C3DC85F26}" uniqueName="2" name="ID PRODUCTO" queryTableFieldId="2" dataDxfId="20"/>
    <tableColumn id="3" xr3:uid="{555ED996-DFC0-4162-9A52-07EB442D6DF8}" uniqueName="3" name="Prioridad" queryTableFieldId="3"/>
    <tableColumn id="4" xr3:uid="{1961161B-D4C3-4EFD-8E76-9CDBC2CA3833}" uniqueName="4" name="Fecha pedido" queryTableFieldId="4" dataDxfId="19"/>
    <tableColumn id="5" xr3:uid="{28C888C3-DE1C-416B-A1B2-B1F5AA6D4934}" uniqueName="5" name="ID Pedido" queryTableFieldId="5"/>
    <tableColumn id="6" xr3:uid="{905F2D78-4375-4B79-AB4A-85BFF63F3833}" uniqueName="6" name="Fecha envío" queryTableFieldId="6" dataDxfId="18"/>
    <tableColumn id="7" xr3:uid="{AA41E5D4-9C75-41EB-8010-E1565871C9AD}" uniqueName="7" name="Unidades" queryTableFieldId="7"/>
    <tableColumn id="8" xr3:uid="{0EADE24F-D414-43F8-A553-B85BDC544569}" uniqueName="8" name="Precio Unitario" queryTableFieldId="8"/>
    <tableColumn id="9" xr3:uid="{4F0DEC00-5131-4E83-88A7-070DAD0C5533}" uniqueName="9" name="Coste unitario" queryTableFieldId="9"/>
    <tableColumn id="10" xr3:uid="{B7A3DDE5-202A-41CB-98A5-F5362C99F920}" uniqueName="10" name="Importe venta total" queryTableFieldId="10"/>
    <tableColumn id="11" xr3:uid="{C7005F9F-F0CE-471B-BF61-BE566052A6A2}" uniqueName="11" name="Importe Coste total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79D3A-85DD-4DEC-846B-CD07A0BC1245}" name="Dim_Clientes" displayName="Dim_Clientes" ref="A1:C952" tableType="queryTable" totalsRowShown="0">
  <autoFilter ref="A1:C952" xr:uid="{5A579D3A-85DD-4DEC-846B-CD07A0BC1245}"/>
  <sortState xmlns:xlrd2="http://schemas.microsoft.com/office/spreadsheetml/2017/richdata2" ref="A2:C952">
    <sortCondition ref="A1:A952"/>
  </sortState>
  <tableColumns count="3">
    <tableColumn id="4" xr3:uid="{AF223D5C-971D-4F36-B34C-88330149F5B7}" uniqueName="4" name="ID Cliente" queryTableFieldId="4" dataDxfId="17"/>
    <tableColumn id="5" xr3:uid="{9AFC7CF0-2918-4C19-AEA9-9AA36837CDA5}" uniqueName="5" name="Zona" queryTableFieldId="5" dataDxfId="16"/>
    <tableColumn id="6" xr3:uid="{DDD48BD8-CA61-478E-90F1-7726532BD6D3}" uniqueName="6" name="País" queryTableFieldId="6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38A08A-2174-478E-8EBD-CF70D51A5B1D}" name="Dim_Productos" displayName="Dim_Productos" ref="A1:B13" tableType="queryTable" totalsRowShown="0">
  <autoFilter ref="A1:B13" xr:uid="{B138A08A-2174-478E-8EBD-CF70D51A5B1D}"/>
  <tableColumns count="2">
    <tableColumn id="1" xr3:uid="{63B9B895-C394-494F-87D3-C548D1C393A9}" uniqueName="1" name="ID" queryTableFieldId="1" dataDxfId="14"/>
    <tableColumn id="2" xr3:uid="{3E3872C2-6D32-4EAA-9FE7-8B3F541F66C0}" uniqueName="2" name="Tipo de producto" queryTableFieldId="2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BF1F80-5877-472B-B3D4-4C96FB47CEAE}" name="Tabla1" displayName="Tabla1" ref="A1:B4" totalsRowShown="0" headerRowDxfId="12">
  <autoFilter ref="A1:B4" xr:uid="{3EBF1F80-5877-472B-B3D4-4C96FB47CEAE}"/>
  <tableColumns count="2">
    <tableColumn id="1" xr3:uid="{28FC4AEB-AF2B-4CAF-AD46-C8B13647B630}" name="Concepto"/>
    <tableColumn id="2" xr3:uid="{F23E2DBD-39E8-47AC-84D4-D8C90F5F8C4A}" name="Importe" dataDxfId="1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25F4-4E2E-478C-858A-2C9E5530EAB4}">
  <dimension ref="B3:E16"/>
  <sheetViews>
    <sheetView workbookViewId="0">
      <selection activeCell="E9" sqref="E9"/>
    </sheetView>
  </sheetViews>
  <sheetFormatPr baseColWidth="10" defaultRowHeight="14.5" x14ac:dyDescent="0.35"/>
  <cols>
    <col min="2" max="2" width="16.54296875" bestFit="1" customWidth="1"/>
    <col min="3" max="3" width="14.81640625" bestFit="1" customWidth="1"/>
    <col min="4" max="4" width="15.26953125" bestFit="1" customWidth="1"/>
    <col min="5" max="5" width="19.81640625" style="10" bestFit="1" customWidth="1"/>
  </cols>
  <sheetData>
    <row r="3" spans="2:5" x14ac:dyDescent="0.35">
      <c r="B3" s="2" t="s">
        <v>1184</v>
      </c>
      <c r="C3" t="s">
        <v>1202</v>
      </c>
      <c r="D3" t="s">
        <v>1203</v>
      </c>
      <c r="E3"/>
    </row>
    <row r="4" spans="2:5" x14ac:dyDescent="0.35">
      <c r="B4" s="3" t="s">
        <v>977</v>
      </c>
      <c r="C4" s="6">
        <v>41386500.539999992</v>
      </c>
      <c r="D4" s="7">
        <v>0.37550924475086173</v>
      </c>
      <c r="E4"/>
    </row>
    <row r="5" spans="2:5" x14ac:dyDescent="0.35">
      <c r="B5" s="3" t="s">
        <v>979</v>
      </c>
      <c r="C5" s="6">
        <v>7151107.6800000034</v>
      </c>
      <c r="D5" s="7">
        <v>0.33003161222339317</v>
      </c>
      <c r="E5"/>
    </row>
    <row r="6" spans="2:5" x14ac:dyDescent="0.35">
      <c r="B6" s="3" t="s">
        <v>971</v>
      </c>
      <c r="C6" s="6">
        <v>24204180.00000003</v>
      </c>
      <c r="D6" s="7">
        <v>0.13558036455000139</v>
      </c>
      <c r="E6"/>
    </row>
    <row r="7" spans="2:5" x14ac:dyDescent="0.35">
      <c r="B7" s="3" t="s">
        <v>973</v>
      </c>
      <c r="C7" s="6">
        <v>40225618.349999987</v>
      </c>
      <c r="D7" s="7">
        <v>0.43067574137092846</v>
      </c>
      <c r="E7"/>
    </row>
    <row r="8" spans="2:5" x14ac:dyDescent="0.35">
      <c r="B8" s="3" t="s">
        <v>981</v>
      </c>
      <c r="C8" s="6">
        <v>64511333.839999974</v>
      </c>
      <c r="D8" s="7">
        <v>0.39768984446477573</v>
      </c>
      <c r="E8"/>
    </row>
    <row r="9" spans="2:5" x14ac:dyDescent="0.35">
      <c r="B9" s="3" t="s">
        <v>983</v>
      </c>
      <c r="C9" s="6">
        <v>11406810.800000001</v>
      </c>
      <c r="D9" s="7">
        <v>0.30661935641747223</v>
      </c>
      <c r="E9"/>
    </row>
    <row r="10" spans="2:5" x14ac:dyDescent="0.35">
      <c r="B10" s="3" t="s">
        <v>991</v>
      </c>
      <c r="C10" s="6">
        <v>66660914.980000168</v>
      </c>
      <c r="D10" s="7">
        <v>0.24799856345489157</v>
      </c>
      <c r="E10"/>
    </row>
    <row r="11" spans="2:5" x14ac:dyDescent="0.35">
      <c r="B11" s="3" t="s">
        <v>975</v>
      </c>
      <c r="C11" s="6">
        <v>986832.34000000032</v>
      </c>
      <c r="D11" s="7">
        <v>0.25830653804930342</v>
      </c>
      <c r="E11"/>
    </row>
    <row r="12" spans="2:5" x14ac:dyDescent="0.35">
      <c r="B12" s="3" t="s">
        <v>985</v>
      </c>
      <c r="C12" s="6">
        <v>45996031.25000003</v>
      </c>
      <c r="D12" s="7">
        <v>0.1938698730056358</v>
      </c>
      <c r="E12"/>
    </row>
    <row r="13" spans="2:5" x14ac:dyDescent="0.35">
      <c r="B13" s="3" t="s">
        <v>989</v>
      </c>
      <c r="C13" s="6">
        <v>27712143.359999999</v>
      </c>
      <c r="D13" s="7">
        <v>0.67203513909224011</v>
      </c>
      <c r="E13"/>
    </row>
    <row r="14" spans="2:5" x14ac:dyDescent="0.35">
      <c r="B14" s="3" t="s">
        <v>969</v>
      </c>
      <c r="C14" s="6">
        <v>25714814.699999973</v>
      </c>
      <c r="D14" s="7">
        <v>0.36138419189933119</v>
      </c>
      <c r="E14"/>
    </row>
    <row r="15" spans="2:5" x14ac:dyDescent="0.35">
      <c r="B15" s="3" t="s">
        <v>987</v>
      </c>
      <c r="C15" s="6">
        <v>26069091.590000011</v>
      </c>
      <c r="D15" s="7">
        <v>0.40977541217707403</v>
      </c>
      <c r="E15"/>
    </row>
    <row r="16" spans="2:5" x14ac:dyDescent="0.35">
      <c r="B16" s="3" t="s">
        <v>1185</v>
      </c>
      <c r="C16" s="6">
        <v>382025379.42999971</v>
      </c>
      <c r="D16" s="7">
        <v>0.29635002506423774</v>
      </c>
      <c r="E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5F81-6D6A-43D4-BC59-9144BE194F17}">
  <dimension ref="B1:J40"/>
  <sheetViews>
    <sheetView zoomScale="80" zoomScaleNormal="80" workbookViewId="0">
      <selection activeCell="D2" sqref="D2"/>
    </sheetView>
  </sheetViews>
  <sheetFormatPr baseColWidth="10" defaultRowHeight="14.5" x14ac:dyDescent="0.35"/>
  <cols>
    <col min="2" max="2" width="24.36328125" bestFit="1" customWidth="1"/>
    <col min="3" max="3" width="10.36328125" bestFit="1" customWidth="1"/>
    <col min="4" max="9" width="21.08984375" style="4" bestFit="1" customWidth="1"/>
    <col min="10" max="10" width="12.26953125" style="4" bestFit="1" customWidth="1"/>
  </cols>
  <sheetData>
    <row r="1" spans="2:10" x14ac:dyDescent="0.35">
      <c r="B1" s="2" t="s">
        <v>967</v>
      </c>
      <c r="C1" t="s" vm="1">
        <v>1199</v>
      </c>
    </row>
    <row r="3" spans="2:10" x14ac:dyDescent="0.35">
      <c r="B3" s="2" t="s">
        <v>1198</v>
      </c>
      <c r="D3" s="5" t="s">
        <v>992</v>
      </c>
    </row>
    <row r="4" spans="2:10" x14ac:dyDescent="0.35">
      <c r="B4" s="2" t="s">
        <v>1200</v>
      </c>
      <c r="C4" s="2" t="s">
        <v>1201</v>
      </c>
      <c r="D4" s="4" t="s">
        <v>999</v>
      </c>
      <c r="E4" s="4" t="s">
        <v>1017</v>
      </c>
      <c r="F4" t="s">
        <v>997</v>
      </c>
      <c r="G4" t="s">
        <v>1001</v>
      </c>
      <c r="H4" t="s">
        <v>994</v>
      </c>
      <c r="I4" t="s">
        <v>1007</v>
      </c>
      <c r="J4" t="s">
        <v>1185</v>
      </c>
    </row>
    <row r="5" spans="2:10" x14ac:dyDescent="0.35">
      <c r="B5">
        <v>2020</v>
      </c>
      <c r="C5" t="s">
        <v>1186</v>
      </c>
      <c r="D5" s="4">
        <v>7795590.9900000002</v>
      </c>
      <c r="E5" s="4">
        <v>3826541.3</v>
      </c>
      <c r="F5" s="4">
        <v>3250927.84</v>
      </c>
      <c r="G5">
        <v>8571507.5899999999</v>
      </c>
      <c r="H5">
        <v>9845918.6699999999</v>
      </c>
      <c r="I5"/>
      <c r="J5">
        <v>33290486.390000001</v>
      </c>
    </row>
    <row r="6" spans="2:10" x14ac:dyDescent="0.35">
      <c r="C6" t="s">
        <v>1187</v>
      </c>
      <c r="D6" s="4">
        <v>7579000.9700000007</v>
      </c>
      <c r="F6" s="4">
        <v>5370579.4299999997</v>
      </c>
      <c r="G6">
        <v>1612976.3399999999</v>
      </c>
      <c r="H6">
        <v>10946860.889999999</v>
      </c>
      <c r="I6">
        <v>972034.55999999994</v>
      </c>
      <c r="J6">
        <v>26481452.190000001</v>
      </c>
    </row>
    <row r="7" spans="2:10" x14ac:dyDescent="0.35">
      <c r="C7" t="s">
        <v>1188</v>
      </c>
      <c r="D7" s="4">
        <v>12956486.59</v>
      </c>
      <c r="E7" s="4">
        <v>3463505.77</v>
      </c>
      <c r="F7" s="4">
        <v>254353.06</v>
      </c>
      <c r="G7">
        <v>2013680.97</v>
      </c>
      <c r="H7">
        <v>9489763.0500000007</v>
      </c>
      <c r="I7"/>
      <c r="J7">
        <v>28177789.440000001</v>
      </c>
    </row>
    <row r="8" spans="2:10" x14ac:dyDescent="0.35">
      <c r="C8" t="s">
        <v>1189</v>
      </c>
      <c r="D8" s="4">
        <v>11354767.949999999</v>
      </c>
      <c r="E8" s="4">
        <v>3731573.55</v>
      </c>
      <c r="F8" s="4">
        <v>11062429.140000001</v>
      </c>
      <c r="G8">
        <v>4719909.7500000009</v>
      </c>
      <c r="H8">
        <v>10078544.57</v>
      </c>
      <c r="I8"/>
      <c r="J8">
        <v>40947224.959999993</v>
      </c>
    </row>
    <row r="9" spans="2:10" x14ac:dyDescent="0.35">
      <c r="C9" t="s">
        <v>1190</v>
      </c>
      <c r="D9" s="4">
        <v>8378071.7699999996</v>
      </c>
      <c r="E9" s="4">
        <v>6827234.2999999989</v>
      </c>
      <c r="F9" s="4">
        <v>639725.12</v>
      </c>
      <c r="G9">
        <v>360667.45</v>
      </c>
      <c r="H9">
        <v>18389768.699999999</v>
      </c>
      <c r="I9"/>
      <c r="J9">
        <v>34595467.339999989</v>
      </c>
    </row>
    <row r="10" spans="2:10" x14ac:dyDescent="0.35">
      <c r="C10" t="s">
        <v>1191</v>
      </c>
      <c r="D10" s="4">
        <v>12450767.450000001</v>
      </c>
      <c r="E10" s="4">
        <v>4858623.1099999994</v>
      </c>
      <c r="F10" s="4">
        <v>975082.83</v>
      </c>
      <c r="G10">
        <v>948550.4</v>
      </c>
      <c r="H10">
        <v>3731499.43</v>
      </c>
      <c r="I10">
        <v>2450177.44</v>
      </c>
      <c r="J10">
        <v>25414700.660000004</v>
      </c>
    </row>
    <row r="11" spans="2:10" x14ac:dyDescent="0.35">
      <c r="C11" t="s">
        <v>1192</v>
      </c>
      <c r="D11" s="4">
        <v>19668568.91</v>
      </c>
      <c r="E11" s="4">
        <v>3107858.43</v>
      </c>
      <c r="F11" s="4">
        <v>3137963.7</v>
      </c>
      <c r="G11">
        <v>1093320.8699999999</v>
      </c>
      <c r="H11">
        <v>5834338.0099999998</v>
      </c>
      <c r="I11">
        <v>22557.48</v>
      </c>
      <c r="J11">
        <v>32864607.400000002</v>
      </c>
    </row>
    <row r="12" spans="2:10" x14ac:dyDescent="0.35">
      <c r="C12" t="s">
        <v>1193</v>
      </c>
      <c r="D12" s="4">
        <v>14523015.359999999</v>
      </c>
      <c r="E12" s="4">
        <v>4536905.91</v>
      </c>
      <c r="F12" s="4">
        <v>2103369.1999999997</v>
      </c>
      <c r="G12">
        <v>9329675.5700000003</v>
      </c>
      <c r="H12">
        <v>5147851.68</v>
      </c>
      <c r="I12"/>
      <c r="J12">
        <v>35640817.719999991</v>
      </c>
    </row>
    <row r="13" spans="2:10" x14ac:dyDescent="0.35">
      <c r="C13" t="s">
        <v>1194</v>
      </c>
      <c r="D13" s="4">
        <v>9173091.7700000014</v>
      </c>
      <c r="E13" s="4">
        <v>5400187.2500000009</v>
      </c>
      <c r="F13" s="4">
        <v>1992612.04</v>
      </c>
      <c r="G13">
        <v>7934239.5300000012</v>
      </c>
      <c r="H13">
        <v>9319854.7799999993</v>
      </c>
      <c r="I13">
        <v>5670202.1699999999</v>
      </c>
      <c r="J13">
        <v>39490187.540000007</v>
      </c>
    </row>
    <row r="14" spans="2:10" x14ac:dyDescent="0.35">
      <c r="C14" t="s">
        <v>1195</v>
      </c>
      <c r="D14" s="4">
        <v>12949303.530000001</v>
      </c>
      <c r="E14" s="4">
        <v>10551778.129999999</v>
      </c>
      <c r="F14" s="4">
        <v>301876.90000000002</v>
      </c>
      <c r="G14">
        <v>12009348.880000001</v>
      </c>
      <c r="H14">
        <v>10005300.949999999</v>
      </c>
      <c r="I14">
        <v>1905677.13</v>
      </c>
      <c r="J14">
        <v>47723285.520000011</v>
      </c>
    </row>
    <row r="15" spans="2:10" x14ac:dyDescent="0.35">
      <c r="C15" t="s">
        <v>1196</v>
      </c>
      <c r="D15" s="4">
        <v>28837463.190000001</v>
      </c>
      <c r="E15" s="4">
        <v>4066006.32</v>
      </c>
      <c r="F15" s="4">
        <v>2889677.6799999997</v>
      </c>
      <c r="G15">
        <v>5341878.24</v>
      </c>
      <c r="H15">
        <v>10104747.579999998</v>
      </c>
      <c r="I15"/>
      <c r="J15">
        <v>51239773.009999998</v>
      </c>
    </row>
    <row r="16" spans="2:10" x14ac:dyDescent="0.35">
      <c r="C16" t="s">
        <v>1197</v>
      </c>
      <c r="D16" s="4">
        <v>22418311.340000004</v>
      </c>
      <c r="E16" s="4">
        <v>3947486.9400000004</v>
      </c>
      <c r="F16" s="4">
        <v>6706920.6800000016</v>
      </c>
      <c r="G16">
        <v>2572839.5</v>
      </c>
      <c r="H16">
        <v>3551838.6899999995</v>
      </c>
      <c r="I16">
        <v>2228440.62</v>
      </c>
      <c r="J16">
        <v>41425837.770000011</v>
      </c>
    </row>
    <row r="17" spans="2:10" x14ac:dyDescent="0.35">
      <c r="B17">
        <v>2021</v>
      </c>
      <c r="C17" t="s">
        <v>1186</v>
      </c>
      <c r="D17" s="4">
        <v>9447860.6099999994</v>
      </c>
      <c r="E17" s="4">
        <v>16746808.439999999</v>
      </c>
      <c r="F17" s="4">
        <v>8465242.8900000006</v>
      </c>
      <c r="G17">
        <v>3405562.68</v>
      </c>
      <c r="H17">
        <v>5211065.2100000018</v>
      </c>
      <c r="I17">
        <v>41742.42</v>
      </c>
      <c r="J17">
        <v>43318282.250000015</v>
      </c>
    </row>
    <row r="18" spans="2:10" x14ac:dyDescent="0.35">
      <c r="C18" t="s">
        <v>1187</v>
      </c>
      <c r="D18" s="4">
        <v>17462565.82</v>
      </c>
      <c r="E18" s="4">
        <v>2666920.3800000004</v>
      </c>
      <c r="F18" s="4">
        <v>559699.98</v>
      </c>
      <c r="G18">
        <v>1480566.85</v>
      </c>
      <c r="H18">
        <v>24046540.599999998</v>
      </c>
      <c r="I18">
        <v>4262792.22</v>
      </c>
      <c r="J18">
        <v>50479085.849999994</v>
      </c>
    </row>
    <row r="19" spans="2:10" x14ac:dyDescent="0.35">
      <c r="C19" t="s">
        <v>1188</v>
      </c>
      <c r="D19" s="4">
        <v>13680598.32</v>
      </c>
      <c r="E19" s="4">
        <v>17735361.280000001</v>
      </c>
      <c r="F19" s="4">
        <v>2509817.6</v>
      </c>
      <c r="G19">
        <v>9867692.5899999999</v>
      </c>
      <c r="H19">
        <v>14440321.57</v>
      </c>
      <c r="I19"/>
      <c r="J19">
        <v>58233791.359999992</v>
      </c>
    </row>
    <row r="20" spans="2:10" x14ac:dyDescent="0.35">
      <c r="C20" t="s">
        <v>1189</v>
      </c>
      <c r="D20" s="4">
        <v>24256186.460000001</v>
      </c>
      <c r="E20" s="4">
        <v>6684904.7199999997</v>
      </c>
      <c r="F20" s="4">
        <v>8651444.5800000001</v>
      </c>
      <c r="G20">
        <v>1577270.26</v>
      </c>
      <c r="H20">
        <v>1604823.25</v>
      </c>
      <c r="I20">
        <v>716877.18</v>
      </c>
      <c r="J20">
        <v>43491506.450000003</v>
      </c>
    </row>
    <row r="21" spans="2:10" x14ac:dyDescent="0.35">
      <c r="C21" t="s">
        <v>1190</v>
      </c>
      <c r="D21" s="4">
        <v>16132708.499999996</v>
      </c>
      <c r="E21" s="4">
        <v>1985159.7400000002</v>
      </c>
      <c r="F21" s="4">
        <v>1050883.8499999999</v>
      </c>
      <c r="G21">
        <v>779712.8</v>
      </c>
      <c r="H21">
        <v>20802960.290000003</v>
      </c>
      <c r="I21">
        <v>2248694.4300000002</v>
      </c>
      <c r="J21">
        <v>43000119.609999999</v>
      </c>
    </row>
    <row r="22" spans="2:10" x14ac:dyDescent="0.35">
      <c r="C22" t="s">
        <v>1191</v>
      </c>
      <c r="D22" s="4">
        <v>8552952.8300000001</v>
      </c>
      <c r="E22" s="4">
        <v>9319578.6399999987</v>
      </c>
      <c r="F22" s="4">
        <v>7934251.5700000003</v>
      </c>
      <c r="G22">
        <v>1047279.3</v>
      </c>
      <c r="H22">
        <v>11928542.189999999</v>
      </c>
      <c r="I22">
        <v>2292259.2000000002</v>
      </c>
      <c r="J22">
        <v>41074863.730000004</v>
      </c>
    </row>
    <row r="23" spans="2:10" x14ac:dyDescent="0.35">
      <c r="C23" t="s">
        <v>1192</v>
      </c>
      <c r="D23" s="4">
        <v>22729723.860000003</v>
      </c>
      <c r="E23" s="4">
        <v>4007975.4900000007</v>
      </c>
      <c r="F23" s="4">
        <v>2720258.4</v>
      </c>
      <c r="G23">
        <v>1993009.1500000001</v>
      </c>
      <c r="H23">
        <v>3957270.88</v>
      </c>
      <c r="I23"/>
      <c r="J23">
        <v>35408237.779999994</v>
      </c>
    </row>
    <row r="24" spans="2:10" x14ac:dyDescent="0.35">
      <c r="C24" t="s">
        <v>1193</v>
      </c>
      <c r="D24" s="4">
        <v>37827048.599999994</v>
      </c>
      <c r="E24" s="4">
        <v>5596827.9300000006</v>
      </c>
      <c r="F24" s="4">
        <v>785241.28</v>
      </c>
      <c r="G24">
        <v>8063951.6599999992</v>
      </c>
      <c r="H24">
        <v>8358624.1399999997</v>
      </c>
      <c r="I24">
        <v>326758.40000000002</v>
      </c>
      <c r="J24">
        <v>60958452.010000005</v>
      </c>
    </row>
    <row r="25" spans="2:10" x14ac:dyDescent="0.35">
      <c r="C25" t="s">
        <v>1194</v>
      </c>
      <c r="D25" s="4">
        <v>5279191.79</v>
      </c>
      <c r="E25" s="4">
        <v>2731704.2800000003</v>
      </c>
      <c r="G25">
        <v>414855.35000000003</v>
      </c>
      <c r="H25">
        <v>9569876.1899999976</v>
      </c>
      <c r="I25">
        <v>741952.96</v>
      </c>
      <c r="J25">
        <v>18737580.57</v>
      </c>
    </row>
    <row r="26" spans="2:10" x14ac:dyDescent="0.35">
      <c r="C26" t="s">
        <v>1195</v>
      </c>
      <c r="D26" s="4">
        <v>5766439.8800000008</v>
      </c>
      <c r="E26" s="4">
        <v>4826785.54</v>
      </c>
      <c r="F26" s="4">
        <v>2288537.56</v>
      </c>
      <c r="G26">
        <v>6958948.1799999997</v>
      </c>
      <c r="H26">
        <v>5486036.1800000006</v>
      </c>
      <c r="I26"/>
      <c r="J26">
        <v>25326747.34</v>
      </c>
    </row>
    <row r="27" spans="2:10" x14ac:dyDescent="0.35">
      <c r="C27" t="s">
        <v>1196</v>
      </c>
      <c r="D27" s="4">
        <v>8549751.4600000009</v>
      </c>
      <c r="E27" s="4">
        <v>623191.25</v>
      </c>
      <c r="F27" s="4">
        <v>12037443.41</v>
      </c>
      <c r="G27">
        <v>6407445.1600000001</v>
      </c>
      <c r="H27">
        <v>8558546.8900000006</v>
      </c>
      <c r="I27">
        <v>1726234.4</v>
      </c>
      <c r="J27">
        <v>37902612.570000008</v>
      </c>
    </row>
    <row r="28" spans="2:10" x14ac:dyDescent="0.35">
      <c r="C28" t="s">
        <v>1197</v>
      </c>
      <c r="D28" s="4">
        <v>6111200.8799999999</v>
      </c>
      <c r="E28" s="4">
        <v>7095816.0499999998</v>
      </c>
      <c r="F28" s="4">
        <v>2429567.13</v>
      </c>
      <c r="G28">
        <v>692976.62999999989</v>
      </c>
      <c r="H28">
        <v>8974555.629999999</v>
      </c>
      <c r="I28"/>
      <c r="J28">
        <v>25304116.32</v>
      </c>
    </row>
    <row r="29" spans="2:10" x14ac:dyDescent="0.35">
      <c r="B29">
        <v>2022</v>
      </c>
      <c r="C29" t="s">
        <v>1186</v>
      </c>
      <c r="D29" s="4">
        <v>15660059.300000001</v>
      </c>
      <c r="E29" s="4">
        <v>4285429.3599999994</v>
      </c>
      <c r="F29" s="4">
        <v>4785527.42</v>
      </c>
      <c r="G29">
        <v>4007816.75</v>
      </c>
      <c r="H29">
        <v>6009693.4800000004</v>
      </c>
      <c r="I29"/>
      <c r="J29">
        <v>34748526.310000002</v>
      </c>
    </row>
    <row r="30" spans="2:10" x14ac:dyDescent="0.35">
      <c r="C30" t="s">
        <v>1187</v>
      </c>
      <c r="D30" s="4">
        <v>18722084.98</v>
      </c>
      <c r="E30" s="4">
        <v>4811254.2300000004</v>
      </c>
      <c r="F30" s="4">
        <v>8252206.2200000007</v>
      </c>
      <c r="G30"/>
      <c r="H30">
        <v>7525956.5599999996</v>
      </c>
      <c r="I30">
        <v>655080.44000000006</v>
      </c>
      <c r="J30">
        <v>39966582.43</v>
      </c>
    </row>
    <row r="31" spans="2:10" x14ac:dyDescent="0.35">
      <c r="C31" t="s">
        <v>1188</v>
      </c>
      <c r="D31" s="4">
        <v>18802482.25</v>
      </c>
      <c r="E31" s="4">
        <v>2435399.04</v>
      </c>
      <c r="G31">
        <v>11673589.76</v>
      </c>
      <c r="H31">
        <v>1782206.06</v>
      </c>
      <c r="I31"/>
      <c r="J31">
        <v>34693677.109999999</v>
      </c>
    </row>
    <row r="32" spans="2:10" x14ac:dyDescent="0.35">
      <c r="C32" t="s">
        <v>1189</v>
      </c>
      <c r="D32" s="4">
        <v>10416034.58</v>
      </c>
      <c r="E32" s="4">
        <v>15273228.820000002</v>
      </c>
      <c r="F32" s="4">
        <v>4767364.2299999995</v>
      </c>
      <c r="G32">
        <v>2482821.3000000003</v>
      </c>
      <c r="H32">
        <v>6499593.75</v>
      </c>
      <c r="I32"/>
      <c r="J32">
        <v>39439042.680000007</v>
      </c>
    </row>
    <row r="33" spans="2:10" x14ac:dyDescent="0.35">
      <c r="C33" t="s">
        <v>1190</v>
      </c>
      <c r="D33" s="4">
        <v>7553635.5300000003</v>
      </c>
      <c r="E33" s="4">
        <v>1874908.5700000003</v>
      </c>
      <c r="F33" s="4">
        <v>6283208.5799999991</v>
      </c>
      <c r="G33">
        <v>6483137.9800000004</v>
      </c>
      <c r="H33">
        <v>8120060.0099999998</v>
      </c>
      <c r="I33">
        <v>311994.40000000002</v>
      </c>
      <c r="J33">
        <v>30626945.070000004</v>
      </c>
    </row>
    <row r="34" spans="2:10" x14ac:dyDescent="0.35">
      <c r="C34" t="s">
        <v>1191</v>
      </c>
      <c r="D34" s="4">
        <v>25249138.16</v>
      </c>
      <c r="E34" s="4">
        <v>2054852.28</v>
      </c>
      <c r="F34" s="4">
        <v>2781610.0000000005</v>
      </c>
      <c r="G34">
        <v>3841180.44</v>
      </c>
      <c r="H34">
        <v>3570103.25</v>
      </c>
      <c r="I34"/>
      <c r="J34">
        <v>37496884.129999995</v>
      </c>
    </row>
    <row r="35" spans="2:10" x14ac:dyDescent="0.35">
      <c r="C35" t="s">
        <v>1192</v>
      </c>
      <c r="D35" s="4">
        <v>18801540.619999997</v>
      </c>
      <c r="E35" s="4">
        <v>5795125.4800000004</v>
      </c>
      <c r="G35">
        <v>5209796.84</v>
      </c>
      <c r="H35">
        <v>6743701.040000001</v>
      </c>
      <c r="I35">
        <v>826466.85000000009</v>
      </c>
      <c r="J35">
        <v>37376630.829999998</v>
      </c>
    </row>
    <row r="36" spans="2:10" x14ac:dyDescent="0.35">
      <c r="C36" t="s">
        <v>1193</v>
      </c>
      <c r="D36" s="4">
        <v>24202047.77</v>
      </c>
      <c r="E36" s="4">
        <v>23254256.340000004</v>
      </c>
      <c r="F36" s="4">
        <v>2775709.75</v>
      </c>
      <c r="G36">
        <v>2064471.4700000002</v>
      </c>
      <c r="H36">
        <v>7369547.2899999982</v>
      </c>
      <c r="I36">
        <v>269156.64</v>
      </c>
      <c r="J36">
        <v>59935189.259999998</v>
      </c>
    </row>
    <row r="37" spans="2:10" x14ac:dyDescent="0.35">
      <c r="C37" t="s">
        <v>1194</v>
      </c>
      <c r="D37" s="4">
        <v>14498883.75</v>
      </c>
      <c r="E37" s="4">
        <v>3166651.36</v>
      </c>
      <c r="F37" s="4">
        <v>1660929.4600000002</v>
      </c>
      <c r="G37">
        <v>5745610.9799999995</v>
      </c>
      <c r="H37">
        <v>3935270.1000000006</v>
      </c>
      <c r="I37">
        <v>296890.64</v>
      </c>
      <c r="J37">
        <v>29304236.289999995</v>
      </c>
    </row>
    <row r="38" spans="2:10" x14ac:dyDescent="0.35">
      <c r="C38" t="s">
        <v>1195</v>
      </c>
      <c r="D38" s="4">
        <v>3122351.24</v>
      </c>
      <c r="E38" s="4">
        <v>856228.02000000014</v>
      </c>
      <c r="F38" s="4">
        <v>4194555.21</v>
      </c>
      <c r="G38">
        <v>3089292.34</v>
      </c>
      <c r="H38">
        <v>5247318.8900000006</v>
      </c>
      <c r="I38"/>
      <c r="J38">
        <v>16509745.699999997</v>
      </c>
    </row>
    <row r="39" spans="2:10" x14ac:dyDescent="0.35">
      <c r="C39" t="s">
        <v>1196</v>
      </c>
      <c r="D39" s="4">
        <v>4603679.95</v>
      </c>
      <c r="E39" s="4">
        <v>446267.25</v>
      </c>
      <c r="F39" s="4">
        <v>1582440.3</v>
      </c>
      <c r="G39">
        <v>1812667.2800000003</v>
      </c>
      <c r="H39">
        <v>32356.44</v>
      </c>
      <c r="I39"/>
      <c r="J39">
        <v>8477411.2200000007</v>
      </c>
    </row>
    <row r="40" spans="2:10" x14ac:dyDescent="0.35">
      <c r="B40" t="s">
        <v>1185</v>
      </c>
      <c r="D40" s="4">
        <v>505512606.95999974</v>
      </c>
      <c r="E40" s="4">
        <v>198592335.5</v>
      </c>
      <c r="F40" s="4">
        <v>125201457.04000002</v>
      </c>
      <c r="G40">
        <v>145608250.83999991</v>
      </c>
      <c r="H40">
        <v>286221256.88999981</v>
      </c>
      <c r="I40">
        <v>27965989.580000006</v>
      </c>
      <c r="J40">
        <v>1289101896.8099992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F178-15F4-44F9-B230-D4A50AFD7E48}">
  <dimension ref="A1:K1001"/>
  <sheetViews>
    <sheetView workbookViewId="0">
      <selection sqref="A1:K1001"/>
    </sheetView>
  </sheetViews>
  <sheetFormatPr baseColWidth="10" defaultRowHeight="14.5" x14ac:dyDescent="0.35"/>
  <cols>
    <col min="1" max="1" width="11.36328125" bestFit="1" customWidth="1"/>
    <col min="2" max="2" width="14.81640625" bestFit="1" customWidth="1"/>
    <col min="3" max="3" width="10.7265625" bestFit="1" customWidth="1"/>
    <col min="4" max="4" width="14.36328125" bestFit="1" customWidth="1"/>
    <col min="5" max="5" width="11.08984375" bestFit="1" customWidth="1"/>
    <col min="6" max="6" width="13.08984375" bestFit="1" customWidth="1"/>
    <col min="7" max="7" width="11.08984375" bestFit="1" customWidth="1"/>
    <col min="8" max="8" width="15.453125" bestFit="1" customWidth="1"/>
    <col min="9" max="9" width="14.81640625" bestFit="1" customWidth="1"/>
    <col min="10" max="10" width="18.90625" bestFit="1" customWidth="1"/>
    <col min="11" max="11" width="19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968</v>
      </c>
      <c r="C2" t="s">
        <v>12</v>
      </c>
      <c r="D2" s="1">
        <v>44116</v>
      </c>
      <c r="E2">
        <v>242113196</v>
      </c>
      <c r="F2" s="1">
        <v>44165</v>
      </c>
      <c r="G2">
        <v>5530</v>
      </c>
      <c r="H2">
        <v>152.58000000000001</v>
      </c>
      <c r="I2">
        <v>97.44</v>
      </c>
      <c r="J2">
        <v>843767.4</v>
      </c>
      <c r="K2">
        <v>538843.19999999995</v>
      </c>
    </row>
    <row r="3" spans="1:11" x14ac:dyDescent="0.35">
      <c r="A3" t="s">
        <v>13</v>
      </c>
      <c r="B3" t="s">
        <v>970</v>
      </c>
      <c r="C3" t="s">
        <v>14</v>
      </c>
      <c r="D3" s="1">
        <v>43856</v>
      </c>
      <c r="E3">
        <v>190800607</v>
      </c>
      <c r="F3" s="1">
        <v>43858</v>
      </c>
      <c r="G3">
        <v>994</v>
      </c>
      <c r="H3">
        <v>421.89</v>
      </c>
      <c r="I3">
        <v>364.69</v>
      </c>
      <c r="J3">
        <v>419358.66</v>
      </c>
      <c r="K3">
        <v>362501.86</v>
      </c>
    </row>
    <row r="4" spans="1:11" x14ac:dyDescent="0.35">
      <c r="A4" t="s">
        <v>15</v>
      </c>
      <c r="B4" t="s">
        <v>972</v>
      </c>
      <c r="C4" t="s">
        <v>12</v>
      </c>
      <c r="D4" s="1">
        <v>44144</v>
      </c>
      <c r="E4">
        <v>765228068</v>
      </c>
      <c r="F4" s="1">
        <v>44156</v>
      </c>
      <c r="G4">
        <v>6845</v>
      </c>
      <c r="H4">
        <v>205.7</v>
      </c>
      <c r="I4">
        <v>117.11</v>
      </c>
      <c r="J4">
        <v>1408016.5</v>
      </c>
      <c r="K4">
        <v>801617.95</v>
      </c>
    </row>
    <row r="5" spans="1:11" x14ac:dyDescent="0.35">
      <c r="A5" t="s">
        <v>16</v>
      </c>
      <c r="B5" t="s">
        <v>974</v>
      </c>
      <c r="C5" t="s">
        <v>17</v>
      </c>
      <c r="D5" s="1">
        <v>44429</v>
      </c>
      <c r="E5">
        <v>232631909</v>
      </c>
      <c r="F5" s="1">
        <v>44471</v>
      </c>
      <c r="G5">
        <v>9806</v>
      </c>
      <c r="H5">
        <v>9.33</v>
      </c>
      <c r="I5">
        <v>6.92</v>
      </c>
      <c r="J5">
        <v>91489.98</v>
      </c>
      <c r="K5">
        <v>67857.52</v>
      </c>
    </row>
    <row r="6" spans="1:11" x14ac:dyDescent="0.35">
      <c r="A6" t="s">
        <v>18</v>
      </c>
      <c r="B6" t="s">
        <v>976</v>
      </c>
      <c r="C6" t="s">
        <v>19</v>
      </c>
      <c r="D6" s="1">
        <v>44834</v>
      </c>
      <c r="E6">
        <v>530560958</v>
      </c>
      <c r="F6" s="1">
        <v>44877</v>
      </c>
      <c r="G6">
        <v>3633</v>
      </c>
      <c r="H6">
        <v>255.28</v>
      </c>
      <c r="I6">
        <v>159.41999999999999</v>
      </c>
      <c r="J6">
        <v>927432.24</v>
      </c>
      <c r="K6">
        <v>579172.86</v>
      </c>
    </row>
    <row r="7" spans="1:11" x14ac:dyDescent="0.35">
      <c r="A7" t="s">
        <v>20</v>
      </c>
      <c r="B7" t="s">
        <v>978</v>
      </c>
      <c r="C7" t="s">
        <v>17</v>
      </c>
      <c r="D7" s="1">
        <v>44582</v>
      </c>
      <c r="E7">
        <v>516876542</v>
      </c>
      <c r="F7" s="1">
        <v>44613</v>
      </c>
      <c r="G7">
        <v>4110</v>
      </c>
      <c r="H7">
        <v>47.45</v>
      </c>
      <c r="I7">
        <v>31.79</v>
      </c>
      <c r="J7">
        <v>195019.5</v>
      </c>
      <c r="K7">
        <v>130656.9</v>
      </c>
    </row>
    <row r="8" spans="1:11" x14ac:dyDescent="0.35">
      <c r="A8" t="s">
        <v>21</v>
      </c>
      <c r="B8" t="s">
        <v>968</v>
      </c>
      <c r="C8" t="s">
        <v>19</v>
      </c>
      <c r="D8" s="1">
        <v>44609</v>
      </c>
      <c r="E8">
        <v>919752490</v>
      </c>
      <c r="F8" s="1">
        <v>44619</v>
      </c>
      <c r="G8">
        <v>4056</v>
      </c>
      <c r="H8">
        <v>152.58000000000001</v>
      </c>
      <c r="I8">
        <v>97.44</v>
      </c>
      <c r="J8">
        <v>618864.4800000001</v>
      </c>
      <c r="K8">
        <v>395216.64000000001</v>
      </c>
    </row>
    <row r="9" spans="1:11" x14ac:dyDescent="0.35">
      <c r="A9" t="s">
        <v>22</v>
      </c>
      <c r="B9" t="s">
        <v>980</v>
      </c>
      <c r="C9" t="s">
        <v>19</v>
      </c>
      <c r="D9" s="1">
        <v>43911</v>
      </c>
      <c r="E9">
        <v>287675130</v>
      </c>
      <c r="F9" s="1">
        <v>43958</v>
      </c>
      <c r="G9">
        <v>8319</v>
      </c>
      <c r="H9">
        <v>437.2</v>
      </c>
      <c r="I9">
        <v>263.33</v>
      </c>
      <c r="J9">
        <v>3637066.8</v>
      </c>
      <c r="K9">
        <v>2190642.27</v>
      </c>
    </row>
    <row r="10" spans="1:11" x14ac:dyDescent="0.35">
      <c r="A10" t="s">
        <v>23</v>
      </c>
      <c r="B10" t="s">
        <v>982</v>
      </c>
      <c r="C10" t="s">
        <v>12</v>
      </c>
      <c r="D10" s="1">
        <v>44240</v>
      </c>
      <c r="E10">
        <v>839443290</v>
      </c>
      <c r="F10" s="1">
        <v>44287</v>
      </c>
      <c r="G10">
        <v>8779</v>
      </c>
      <c r="H10">
        <v>81.73</v>
      </c>
      <c r="I10">
        <v>56.67</v>
      </c>
      <c r="J10">
        <v>717507.67</v>
      </c>
      <c r="K10">
        <v>497505.93</v>
      </c>
    </row>
    <row r="11" spans="1:11" x14ac:dyDescent="0.35">
      <c r="A11" t="s">
        <v>24</v>
      </c>
      <c r="B11" t="s">
        <v>984</v>
      </c>
      <c r="C11" t="s">
        <v>19</v>
      </c>
      <c r="D11" s="1">
        <v>44362</v>
      </c>
      <c r="E11">
        <v>814168298</v>
      </c>
      <c r="F11" s="1">
        <v>44389</v>
      </c>
      <c r="G11">
        <v>9347</v>
      </c>
      <c r="H11">
        <v>651.21</v>
      </c>
      <c r="I11">
        <v>524.96</v>
      </c>
      <c r="J11">
        <v>6086859.8700000001</v>
      </c>
      <c r="K11">
        <v>4906801.12</v>
      </c>
    </row>
    <row r="12" spans="1:11" x14ac:dyDescent="0.35">
      <c r="A12" t="s">
        <v>25</v>
      </c>
      <c r="B12" t="s">
        <v>980</v>
      </c>
      <c r="C12" t="s">
        <v>14</v>
      </c>
      <c r="D12" s="1">
        <v>44757</v>
      </c>
      <c r="E12">
        <v>321273982</v>
      </c>
      <c r="F12" s="1">
        <v>44803</v>
      </c>
      <c r="G12">
        <v>966</v>
      </c>
      <c r="H12">
        <v>437.2</v>
      </c>
      <c r="I12">
        <v>263.33</v>
      </c>
      <c r="J12">
        <v>422335.2</v>
      </c>
      <c r="K12">
        <v>254376.78</v>
      </c>
    </row>
    <row r="13" spans="1:11" x14ac:dyDescent="0.35">
      <c r="A13" t="s">
        <v>26</v>
      </c>
      <c r="B13" t="s">
        <v>968</v>
      </c>
      <c r="C13" t="s">
        <v>12</v>
      </c>
      <c r="D13" s="1">
        <v>43964</v>
      </c>
      <c r="E13">
        <v>890496671</v>
      </c>
      <c r="F13" s="1">
        <v>43987</v>
      </c>
      <c r="G13">
        <v>6609</v>
      </c>
      <c r="H13">
        <v>152.58000000000001</v>
      </c>
      <c r="I13">
        <v>97.44</v>
      </c>
      <c r="J13">
        <v>1008401.2200000001</v>
      </c>
      <c r="K13">
        <v>643980.96</v>
      </c>
    </row>
    <row r="14" spans="1:11" x14ac:dyDescent="0.35">
      <c r="A14" t="s">
        <v>27</v>
      </c>
      <c r="B14" t="s">
        <v>978</v>
      </c>
      <c r="C14" t="s">
        <v>12</v>
      </c>
      <c r="D14" s="1">
        <v>44322</v>
      </c>
      <c r="E14">
        <v>521885192</v>
      </c>
      <c r="F14" s="1">
        <v>44338</v>
      </c>
      <c r="G14">
        <v>6281</v>
      </c>
      <c r="H14">
        <v>47.45</v>
      </c>
      <c r="I14">
        <v>31.79</v>
      </c>
      <c r="J14">
        <v>298033.45</v>
      </c>
      <c r="K14">
        <v>199672.99</v>
      </c>
    </row>
    <row r="15" spans="1:11" x14ac:dyDescent="0.35">
      <c r="A15" t="s">
        <v>28</v>
      </c>
      <c r="B15" t="s">
        <v>986</v>
      </c>
      <c r="C15" t="s">
        <v>14</v>
      </c>
      <c r="D15" s="1">
        <v>44142</v>
      </c>
      <c r="E15">
        <v>435800874</v>
      </c>
      <c r="F15" s="1">
        <v>44190</v>
      </c>
      <c r="G15">
        <v>2018</v>
      </c>
      <c r="H15">
        <v>154.06</v>
      </c>
      <c r="I15">
        <v>90.93</v>
      </c>
      <c r="J15">
        <v>310893.08</v>
      </c>
      <c r="K15">
        <v>183496.74000000002</v>
      </c>
    </row>
    <row r="16" spans="1:11" x14ac:dyDescent="0.35">
      <c r="A16" t="s">
        <v>29</v>
      </c>
      <c r="B16" t="s">
        <v>974</v>
      </c>
      <c r="C16" t="s">
        <v>12</v>
      </c>
      <c r="D16" s="1">
        <v>44489</v>
      </c>
      <c r="E16">
        <v>122917544</v>
      </c>
      <c r="F16" s="1">
        <v>44517</v>
      </c>
      <c r="G16">
        <v>2888</v>
      </c>
      <c r="H16">
        <v>9.33</v>
      </c>
      <c r="I16">
        <v>6.92</v>
      </c>
      <c r="J16">
        <v>26945.040000000001</v>
      </c>
      <c r="K16">
        <v>19984.96</v>
      </c>
    </row>
    <row r="17" spans="1:11" x14ac:dyDescent="0.35">
      <c r="A17" t="s">
        <v>30</v>
      </c>
      <c r="B17" t="s">
        <v>982</v>
      </c>
      <c r="C17" t="s">
        <v>12</v>
      </c>
      <c r="D17" s="1">
        <v>44490</v>
      </c>
      <c r="E17">
        <v>494221532</v>
      </c>
      <c r="F17" s="1">
        <v>44518</v>
      </c>
      <c r="G17">
        <v>9989</v>
      </c>
      <c r="H17">
        <v>81.73</v>
      </c>
      <c r="I17">
        <v>56.67</v>
      </c>
      <c r="J17">
        <v>816400.97000000009</v>
      </c>
      <c r="K17">
        <v>566076.63</v>
      </c>
    </row>
    <row r="18" spans="1:11" x14ac:dyDescent="0.35">
      <c r="A18" t="s">
        <v>31</v>
      </c>
      <c r="B18" t="s">
        <v>980</v>
      </c>
      <c r="C18" t="s">
        <v>12</v>
      </c>
      <c r="D18" s="1">
        <v>43940</v>
      </c>
      <c r="E18">
        <v>731011664</v>
      </c>
      <c r="F18" s="1">
        <v>43951</v>
      </c>
      <c r="G18">
        <v>1451</v>
      </c>
      <c r="H18">
        <v>437.2</v>
      </c>
      <c r="I18">
        <v>263.33</v>
      </c>
      <c r="J18">
        <v>634377.19999999995</v>
      </c>
      <c r="K18">
        <v>382091.82999999996</v>
      </c>
    </row>
    <row r="19" spans="1:11" x14ac:dyDescent="0.35">
      <c r="A19" t="s">
        <v>32</v>
      </c>
      <c r="B19" t="s">
        <v>968</v>
      </c>
      <c r="C19" t="s">
        <v>12</v>
      </c>
      <c r="D19" s="1">
        <v>44868</v>
      </c>
      <c r="E19">
        <v>534899270</v>
      </c>
      <c r="F19" s="1">
        <v>44869</v>
      </c>
      <c r="G19">
        <v>7436</v>
      </c>
      <c r="H19">
        <v>152.58000000000001</v>
      </c>
      <c r="I19">
        <v>97.44</v>
      </c>
      <c r="J19">
        <v>1134584.8800000001</v>
      </c>
      <c r="K19">
        <v>724563.84</v>
      </c>
    </row>
    <row r="20" spans="1:11" x14ac:dyDescent="0.35">
      <c r="A20" t="s">
        <v>33</v>
      </c>
      <c r="B20" t="s">
        <v>984</v>
      </c>
      <c r="C20" t="s">
        <v>14</v>
      </c>
      <c r="D20" s="1">
        <v>44752</v>
      </c>
      <c r="E20">
        <v>577808177</v>
      </c>
      <c r="F20" s="1">
        <v>44764</v>
      </c>
      <c r="G20">
        <v>5135</v>
      </c>
      <c r="H20">
        <v>651.21</v>
      </c>
      <c r="I20">
        <v>524.96</v>
      </c>
      <c r="J20">
        <v>3343963.35</v>
      </c>
      <c r="K20">
        <v>2695669.6</v>
      </c>
    </row>
    <row r="21" spans="1:11" x14ac:dyDescent="0.35">
      <c r="A21" t="s">
        <v>34</v>
      </c>
      <c r="B21" t="s">
        <v>984</v>
      </c>
      <c r="C21" t="s">
        <v>17</v>
      </c>
      <c r="D21" s="1">
        <v>44348</v>
      </c>
      <c r="E21">
        <v>251974713</v>
      </c>
      <c r="F21" s="1">
        <v>44368</v>
      </c>
      <c r="G21">
        <v>3772</v>
      </c>
      <c r="H21">
        <v>651.21</v>
      </c>
      <c r="I21">
        <v>524.96</v>
      </c>
      <c r="J21">
        <v>2456364.12</v>
      </c>
      <c r="K21">
        <v>1980149.12</v>
      </c>
    </row>
    <row r="22" spans="1:11" x14ac:dyDescent="0.35">
      <c r="A22" t="s">
        <v>35</v>
      </c>
      <c r="B22" t="s">
        <v>982</v>
      </c>
      <c r="C22" t="s">
        <v>19</v>
      </c>
      <c r="D22" s="1">
        <v>44040</v>
      </c>
      <c r="E22">
        <v>819947707</v>
      </c>
      <c r="F22" s="1">
        <v>44079</v>
      </c>
      <c r="G22">
        <v>9602</v>
      </c>
      <c r="H22">
        <v>81.73</v>
      </c>
      <c r="I22">
        <v>56.67</v>
      </c>
      <c r="J22">
        <v>784771.46000000008</v>
      </c>
      <c r="K22">
        <v>544145.34</v>
      </c>
    </row>
    <row r="23" spans="1:11" x14ac:dyDescent="0.35">
      <c r="A23" t="s">
        <v>36</v>
      </c>
      <c r="B23" t="s">
        <v>980</v>
      </c>
      <c r="C23" t="s">
        <v>12</v>
      </c>
      <c r="D23" s="1">
        <v>44355</v>
      </c>
      <c r="E23">
        <v>464588487</v>
      </c>
      <c r="F23" s="1">
        <v>44402</v>
      </c>
      <c r="G23">
        <v>912</v>
      </c>
      <c r="H23">
        <v>437.2</v>
      </c>
      <c r="I23">
        <v>263.33</v>
      </c>
      <c r="J23">
        <v>398726.39999999997</v>
      </c>
      <c r="K23">
        <v>240156.96</v>
      </c>
    </row>
    <row r="24" spans="1:11" x14ac:dyDescent="0.35">
      <c r="A24" t="s">
        <v>37</v>
      </c>
      <c r="B24" t="s">
        <v>968</v>
      </c>
      <c r="C24" t="s">
        <v>19</v>
      </c>
      <c r="D24" s="1">
        <v>44403</v>
      </c>
      <c r="E24">
        <v>139070880</v>
      </c>
      <c r="F24" s="1">
        <v>44412</v>
      </c>
      <c r="G24">
        <v>3019</v>
      </c>
      <c r="H24">
        <v>152.58000000000001</v>
      </c>
      <c r="I24">
        <v>97.44</v>
      </c>
      <c r="J24">
        <v>460639.02</v>
      </c>
      <c r="K24">
        <v>294171.36</v>
      </c>
    </row>
    <row r="25" spans="1:11" x14ac:dyDescent="0.35">
      <c r="A25" t="s">
        <v>38</v>
      </c>
      <c r="B25" t="s">
        <v>988</v>
      </c>
      <c r="C25" t="s">
        <v>12</v>
      </c>
      <c r="D25" s="1">
        <v>44484</v>
      </c>
      <c r="E25">
        <v>416881215</v>
      </c>
      <c r="F25" s="1">
        <v>44490</v>
      </c>
      <c r="G25">
        <v>3270</v>
      </c>
      <c r="H25">
        <v>109.28</v>
      </c>
      <c r="I25">
        <v>35.840000000000003</v>
      </c>
      <c r="J25">
        <v>357345.6</v>
      </c>
      <c r="K25">
        <v>117196.80000000002</v>
      </c>
    </row>
    <row r="26" spans="1:11" x14ac:dyDescent="0.35">
      <c r="A26" t="s">
        <v>39</v>
      </c>
      <c r="B26" t="s">
        <v>986</v>
      </c>
      <c r="C26" t="s">
        <v>12</v>
      </c>
      <c r="D26" s="1">
        <v>44523</v>
      </c>
      <c r="E26">
        <v>141818320</v>
      </c>
      <c r="F26" s="1">
        <v>44529</v>
      </c>
      <c r="G26">
        <v>6047</v>
      </c>
      <c r="H26">
        <v>154.06</v>
      </c>
      <c r="I26">
        <v>90.93</v>
      </c>
      <c r="J26">
        <v>931600.82000000007</v>
      </c>
      <c r="K26">
        <v>549853.71000000008</v>
      </c>
    </row>
    <row r="27" spans="1:11" x14ac:dyDescent="0.35">
      <c r="A27" t="s">
        <v>40</v>
      </c>
      <c r="B27" t="s">
        <v>982</v>
      </c>
      <c r="C27" t="s">
        <v>14</v>
      </c>
      <c r="D27" s="1">
        <v>44592</v>
      </c>
      <c r="E27">
        <v>477993524</v>
      </c>
      <c r="F27" s="1">
        <v>44632</v>
      </c>
      <c r="G27">
        <v>7761</v>
      </c>
      <c r="H27">
        <v>81.73</v>
      </c>
      <c r="I27">
        <v>56.67</v>
      </c>
      <c r="J27">
        <v>634306.53</v>
      </c>
      <c r="K27">
        <v>439815.87</v>
      </c>
    </row>
    <row r="28" spans="1:11" x14ac:dyDescent="0.35">
      <c r="A28" t="s">
        <v>41</v>
      </c>
      <c r="B28" t="s">
        <v>988</v>
      </c>
      <c r="C28" t="s">
        <v>14</v>
      </c>
      <c r="D28" s="1">
        <v>44388</v>
      </c>
      <c r="E28">
        <v>859830653</v>
      </c>
      <c r="F28" s="1">
        <v>44413</v>
      </c>
      <c r="G28">
        <v>1852</v>
      </c>
      <c r="H28">
        <v>109.28</v>
      </c>
      <c r="I28">
        <v>35.840000000000003</v>
      </c>
      <c r="J28">
        <v>202386.56</v>
      </c>
      <c r="K28">
        <v>66375.680000000008</v>
      </c>
    </row>
    <row r="29" spans="1:11" x14ac:dyDescent="0.35">
      <c r="A29" t="s">
        <v>42</v>
      </c>
      <c r="B29" t="s">
        <v>988</v>
      </c>
      <c r="C29" t="s">
        <v>12</v>
      </c>
      <c r="D29" s="1">
        <v>44799</v>
      </c>
      <c r="E29">
        <v>342066037</v>
      </c>
      <c r="F29" s="1">
        <v>44845</v>
      </c>
      <c r="G29">
        <v>3797</v>
      </c>
      <c r="H29">
        <v>109.28</v>
      </c>
      <c r="I29">
        <v>35.840000000000003</v>
      </c>
      <c r="J29">
        <v>414936.16000000003</v>
      </c>
      <c r="K29">
        <v>136084.48000000001</v>
      </c>
    </row>
    <row r="30" spans="1:11" x14ac:dyDescent="0.35">
      <c r="A30" t="s">
        <v>43</v>
      </c>
      <c r="B30" t="s">
        <v>990</v>
      </c>
      <c r="C30" t="s">
        <v>12</v>
      </c>
      <c r="D30" s="1">
        <v>44248</v>
      </c>
      <c r="E30">
        <v>749748504</v>
      </c>
      <c r="F30" s="1">
        <v>44271</v>
      </c>
      <c r="G30">
        <v>6098</v>
      </c>
      <c r="H30">
        <v>668.27</v>
      </c>
      <c r="I30">
        <v>502.54</v>
      </c>
      <c r="J30">
        <v>4075110.46</v>
      </c>
      <c r="K30">
        <v>3064488.92</v>
      </c>
    </row>
    <row r="31" spans="1:11" x14ac:dyDescent="0.35">
      <c r="A31" t="s">
        <v>44</v>
      </c>
      <c r="B31" t="s">
        <v>980</v>
      </c>
      <c r="C31" t="s">
        <v>19</v>
      </c>
      <c r="D31" s="1">
        <v>44438</v>
      </c>
      <c r="E31">
        <v>828239381</v>
      </c>
      <c r="F31" s="1">
        <v>44477</v>
      </c>
      <c r="G31">
        <v>3293</v>
      </c>
      <c r="H31">
        <v>437.2</v>
      </c>
      <c r="I31">
        <v>263.33</v>
      </c>
      <c r="J31">
        <v>1439699.5999999999</v>
      </c>
      <c r="K31">
        <v>867145.69</v>
      </c>
    </row>
    <row r="32" spans="1:11" x14ac:dyDescent="0.35">
      <c r="A32" t="s">
        <v>45</v>
      </c>
      <c r="B32" t="s">
        <v>986</v>
      </c>
      <c r="C32" t="s">
        <v>14</v>
      </c>
      <c r="D32" s="1">
        <v>44611</v>
      </c>
      <c r="E32">
        <v>293212497</v>
      </c>
      <c r="F32" s="1">
        <v>44629</v>
      </c>
      <c r="G32">
        <v>6948</v>
      </c>
      <c r="H32">
        <v>154.06</v>
      </c>
      <c r="I32">
        <v>90.93</v>
      </c>
      <c r="J32">
        <v>1070408.8800000001</v>
      </c>
      <c r="K32">
        <v>631781.64</v>
      </c>
    </row>
    <row r="33" spans="1:11" x14ac:dyDescent="0.35">
      <c r="A33" t="s">
        <v>46</v>
      </c>
      <c r="B33" t="s">
        <v>982</v>
      </c>
      <c r="C33" t="s">
        <v>17</v>
      </c>
      <c r="D33" s="1">
        <v>44152</v>
      </c>
      <c r="E33">
        <v>280654180</v>
      </c>
      <c r="F33" s="1">
        <v>44198</v>
      </c>
      <c r="G33">
        <v>663</v>
      </c>
      <c r="H33">
        <v>81.73</v>
      </c>
      <c r="I33">
        <v>56.67</v>
      </c>
      <c r="J33">
        <v>54186.990000000005</v>
      </c>
      <c r="K33">
        <v>37572.21</v>
      </c>
    </row>
    <row r="34" spans="1:11" x14ac:dyDescent="0.35">
      <c r="A34" t="s">
        <v>47</v>
      </c>
      <c r="B34" t="s">
        <v>988</v>
      </c>
      <c r="C34" t="s">
        <v>19</v>
      </c>
      <c r="D34" s="1">
        <v>44160</v>
      </c>
      <c r="E34">
        <v>196863257</v>
      </c>
      <c r="F34" s="1">
        <v>44205</v>
      </c>
      <c r="G34">
        <v>5067</v>
      </c>
      <c r="H34">
        <v>109.28</v>
      </c>
      <c r="I34">
        <v>35.840000000000003</v>
      </c>
      <c r="J34">
        <v>553721.76</v>
      </c>
      <c r="K34">
        <v>181601.28000000003</v>
      </c>
    </row>
    <row r="35" spans="1:11" x14ac:dyDescent="0.35">
      <c r="A35" t="s">
        <v>48</v>
      </c>
      <c r="B35" t="s">
        <v>974</v>
      </c>
      <c r="C35" t="s">
        <v>14</v>
      </c>
      <c r="D35" s="1">
        <v>44840</v>
      </c>
      <c r="E35">
        <v>868451058</v>
      </c>
      <c r="F35" s="1">
        <v>44842</v>
      </c>
      <c r="G35">
        <v>2822</v>
      </c>
      <c r="H35">
        <v>9.33</v>
      </c>
      <c r="I35">
        <v>6.92</v>
      </c>
      <c r="J35">
        <v>26329.26</v>
      </c>
      <c r="K35">
        <v>19528.240000000002</v>
      </c>
    </row>
    <row r="36" spans="1:11" x14ac:dyDescent="0.35">
      <c r="A36" t="s">
        <v>49</v>
      </c>
      <c r="B36" t="s">
        <v>988</v>
      </c>
      <c r="C36" t="s">
        <v>17</v>
      </c>
      <c r="D36" s="1">
        <v>43928</v>
      </c>
      <c r="E36">
        <v>492341411</v>
      </c>
      <c r="F36" s="1">
        <v>43975</v>
      </c>
      <c r="G36">
        <v>3619</v>
      </c>
      <c r="H36">
        <v>109.28</v>
      </c>
      <c r="I36">
        <v>35.840000000000003</v>
      </c>
      <c r="J36">
        <v>395484.32</v>
      </c>
      <c r="K36">
        <v>129704.96000000001</v>
      </c>
    </row>
    <row r="37" spans="1:11" x14ac:dyDescent="0.35">
      <c r="A37" t="s">
        <v>50</v>
      </c>
      <c r="B37" t="s">
        <v>970</v>
      </c>
      <c r="C37" t="s">
        <v>14</v>
      </c>
      <c r="D37" s="1">
        <v>44532</v>
      </c>
      <c r="E37">
        <v>485770642</v>
      </c>
      <c r="F37" s="1">
        <v>44545</v>
      </c>
      <c r="G37">
        <v>9183</v>
      </c>
      <c r="H37">
        <v>421.89</v>
      </c>
      <c r="I37">
        <v>364.69</v>
      </c>
      <c r="J37">
        <v>3874215.8699999996</v>
      </c>
      <c r="K37">
        <v>3348948.27</v>
      </c>
    </row>
    <row r="38" spans="1:11" x14ac:dyDescent="0.35">
      <c r="A38" t="s">
        <v>51</v>
      </c>
      <c r="B38" t="s">
        <v>978</v>
      </c>
      <c r="C38" t="s">
        <v>14</v>
      </c>
      <c r="D38" s="1">
        <v>44163</v>
      </c>
      <c r="E38">
        <v>536287581</v>
      </c>
      <c r="F38" s="1">
        <v>44193</v>
      </c>
      <c r="G38">
        <v>8268</v>
      </c>
      <c r="H38">
        <v>47.45</v>
      </c>
      <c r="I38">
        <v>31.79</v>
      </c>
      <c r="J38">
        <v>392316.60000000003</v>
      </c>
      <c r="K38">
        <v>262839.71999999997</v>
      </c>
    </row>
    <row r="39" spans="1:11" x14ac:dyDescent="0.35">
      <c r="A39" t="s">
        <v>52</v>
      </c>
      <c r="B39" t="s">
        <v>972</v>
      </c>
      <c r="C39" t="s">
        <v>12</v>
      </c>
      <c r="D39" s="1">
        <v>44654</v>
      </c>
      <c r="E39">
        <v>851753556</v>
      </c>
      <c r="F39" s="1">
        <v>44693</v>
      </c>
      <c r="G39">
        <v>1660</v>
      </c>
      <c r="H39">
        <v>205.7</v>
      </c>
      <c r="I39">
        <v>117.11</v>
      </c>
      <c r="J39">
        <v>341462</v>
      </c>
      <c r="K39">
        <v>194402.6</v>
      </c>
    </row>
    <row r="40" spans="1:11" x14ac:dyDescent="0.35">
      <c r="A40" t="s">
        <v>53</v>
      </c>
      <c r="B40" t="s">
        <v>986</v>
      </c>
      <c r="C40" t="s">
        <v>19</v>
      </c>
      <c r="D40" s="1">
        <v>44331</v>
      </c>
      <c r="E40">
        <v>810342395</v>
      </c>
      <c r="F40" s="1">
        <v>44347</v>
      </c>
      <c r="G40">
        <v>7177</v>
      </c>
      <c r="H40">
        <v>154.06</v>
      </c>
      <c r="I40">
        <v>90.93</v>
      </c>
      <c r="J40">
        <v>1105688.6200000001</v>
      </c>
      <c r="K40">
        <v>652604.6100000001</v>
      </c>
    </row>
    <row r="41" spans="1:11" x14ac:dyDescent="0.35">
      <c r="A41" t="s">
        <v>54</v>
      </c>
      <c r="B41" t="s">
        <v>990</v>
      </c>
      <c r="C41" t="s">
        <v>17</v>
      </c>
      <c r="D41" s="1">
        <v>44799</v>
      </c>
      <c r="E41">
        <v>310540425</v>
      </c>
      <c r="F41" s="1">
        <v>44805</v>
      </c>
      <c r="G41">
        <v>4668</v>
      </c>
      <c r="H41">
        <v>668.27</v>
      </c>
      <c r="I41">
        <v>502.54</v>
      </c>
      <c r="J41">
        <v>3119484.36</v>
      </c>
      <c r="K41">
        <v>2345856.7200000002</v>
      </c>
    </row>
    <row r="42" spans="1:11" x14ac:dyDescent="0.35">
      <c r="A42" t="s">
        <v>55</v>
      </c>
      <c r="B42" t="s">
        <v>974</v>
      </c>
      <c r="C42" t="s">
        <v>14</v>
      </c>
      <c r="D42" s="1">
        <v>44158</v>
      </c>
      <c r="E42">
        <v>221146476</v>
      </c>
      <c r="F42" s="1">
        <v>44196</v>
      </c>
      <c r="G42">
        <v>1011</v>
      </c>
      <c r="H42">
        <v>9.33</v>
      </c>
      <c r="I42">
        <v>6.92</v>
      </c>
      <c r="J42">
        <v>9432.6299999999992</v>
      </c>
      <c r="K42">
        <v>6996.12</v>
      </c>
    </row>
    <row r="43" spans="1:11" x14ac:dyDescent="0.35">
      <c r="A43" t="s">
        <v>56</v>
      </c>
      <c r="B43" t="s">
        <v>988</v>
      </c>
      <c r="C43" t="s">
        <v>14</v>
      </c>
      <c r="D43" s="1">
        <v>44827</v>
      </c>
      <c r="E43">
        <v>131271874</v>
      </c>
      <c r="F43" s="1">
        <v>44831</v>
      </c>
      <c r="G43">
        <v>5120</v>
      </c>
      <c r="H43">
        <v>109.28</v>
      </c>
      <c r="I43">
        <v>35.840000000000003</v>
      </c>
      <c r="J43">
        <v>559513.59999999998</v>
      </c>
      <c r="K43">
        <v>183500.80000000002</v>
      </c>
    </row>
    <row r="44" spans="1:11" x14ac:dyDescent="0.35">
      <c r="A44" t="s">
        <v>57</v>
      </c>
      <c r="B44" t="s">
        <v>974</v>
      </c>
      <c r="C44" t="s">
        <v>17</v>
      </c>
      <c r="D44" s="1">
        <v>44676</v>
      </c>
      <c r="E44">
        <v>600340449</v>
      </c>
      <c r="F44" s="1">
        <v>44714</v>
      </c>
      <c r="G44">
        <v>2935</v>
      </c>
      <c r="H44">
        <v>9.33</v>
      </c>
      <c r="I44">
        <v>6.92</v>
      </c>
      <c r="J44">
        <v>27383.55</v>
      </c>
      <c r="K44">
        <v>20310.2</v>
      </c>
    </row>
    <row r="45" spans="1:11" x14ac:dyDescent="0.35">
      <c r="A45" t="s">
        <v>58</v>
      </c>
      <c r="B45" t="s">
        <v>984</v>
      </c>
      <c r="C45" t="s">
        <v>17</v>
      </c>
      <c r="D45" s="1">
        <v>44854</v>
      </c>
      <c r="E45">
        <v>908088529</v>
      </c>
      <c r="F45" s="1">
        <v>44887</v>
      </c>
      <c r="G45">
        <v>2430</v>
      </c>
      <c r="H45">
        <v>651.21</v>
      </c>
      <c r="I45">
        <v>524.96</v>
      </c>
      <c r="J45">
        <v>1582440.3</v>
      </c>
      <c r="K45">
        <v>1275652.8</v>
      </c>
    </row>
    <row r="46" spans="1:11" x14ac:dyDescent="0.35">
      <c r="A46" t="s">
        <v>59</v>
      </c>
      <c r="B46" t="s">
        <v>972</v>
      </c>
      <c r="C46" t="s">
        <v>12</v>
      </c>
      <c r="D46" s="1">
        <v>44047</v>
      </c>
      <c r="E46">
        <v>404564940</v>
      </c>
      <c r="F46" s="1">
        <v>44071</v>
      </c>
      <c r="G46">
        <v>8611</v>
      </c>
      <c r="H46">
        <v>205.7</v>
      </c>
      <c r="I46">
        <v>117.11</v>
      </c>
      <c r="J46">
        <v>1771282.7</v>
      </c>
      <c r="K46">
        <v>1008434.21</v>
      </c>
    </row>
    <row r="47" spans="1:11" x14ac:dyDescent="0.35">
      <c r="A47" t="s">
        <v>60</v>
      </c>
      <c r="B47" t="s">
        <v>982</v>
      </c>
      <c r="C47" t="s">
        <v>17</v>
      </c>
      <c r="D47" s="1">
        <v>44217</v>
      </c>
      <c r="E47">
        <v>760131013</v>
      </c>
      <c r="F47" s="1">
        <v>44224</v>
      </c>
      <c r="G47">
        <v>8513</v>
      </c>
      <c r="H47">
        <v>81.73</v>
      </c>
      <c r="I47">
        <v>56.67</v>
      </c>
      <c r="J47">
        <v>695767.49</v>
      </c>
      <c r="K47">
        <v>482431.71</v>
      </c>
    </row>
    <row r="48" spans="1:11" x14ac:dyDescent="0.35">
      <c r="A48" t="s">
        <v>61</v>
      </c>
      <c r="B48" t="s">
        <v>988</v>
      </c>
      <c r="C48" t="s">
        <v>19</v>
      </c>
      <c r="D48" s="1">
        <v>44867</v>
      </c>
      <c r="E48">
        <v>115460574</v>
      </c>
      <c r="F48" s="1">
        <v>44884</v>
      </c>
      <c r="G48">
        <v>6205</v>
      </c>
      <c r="H48">
        <v>109.28</v>
      </c>
      <c r="I48">
        <v>35.840000000000003</v>
      </c>
      <c r="J48">
        <v>678082.4</v>
      </c>
      <c r="K48">
        <v>222387.20000000001</v>
      </c>
    </row>
    <row r="49" spans="1:11" x14ac:dyDescent="0.35">
      <c r="A49" t="s">
        <v>62</v>
      </c>
      <c r="B49" t="s">
        <v>978</v>
      </c>
      <c r="C49" t="s">
        <v>17</v>
      </c>
      <c r="D49" s="1">
        <v>44600</v>
      </c>
      <c r="E49">
        <v>731539952</v>
      </c>
      <c r="F49" s="1">
        <v>44601</v>
      </c>
      <c r="G49">
        <v>7783</v>
      </c>
      <c r="H49">
        <v>47.45</v>
      </c>
      <c r="I49">
        <v>31.79</v>
      </c>
      <c r="J49">
        <v>369303.35000000003</v>
      </c>
      <c r="K49">
        <v>247421.57</v>
      </c>
    </row>
    <row r="50" spans="1:11" x14ac:dyDescent="0.35">
      <c r="A50" t="s">
        <v>63</v>
      </c>
      <c r="B50" t="s">
        <v>970</v>
      </c>
      <c r="C50" t="s">
        <v>12</v>
      </c>
      <c r="D50" s="1">
        <v>44776</v>
      </c>
      <c r="E50">
        <v>439667975</v>
      </c>
      <c r="F50" s="1">
        <v>44825</v>
      </c>
      <c r="G50">
        <v>6379</v>
      </c>
      <c r="H50">
        <v>421.89</v>
      </c>
      <c r="I50">
        <v>364.69</v>
      </c>
      <c r="J50">
        <v>2691236.31</v>
      </c>
      <c r="K50">
        <v>2326357.5099999998</v>
      </c>
    </row>
    <row r="51" spans="1:11" x14ac:dyDescent="0.35">
      <c r="A51" t="s">
        <v>64</v>
      </c>
      <c r="B51" t="s">
        <v>988</v>
      </c>
      <c r="C51" t="s">
        <v>17</v>
      </c>
      <c r="D51" s="1">
        <v>44815</v>
      </c>
      <c r="E51">
        <v>291455972</v>
      </c>
      <c r="F51" s="1">
        <v>44820</v>
      </c>
      <c r="G51">
        <v>7154</v>
      </c>
      <c r="H51">
        <v>109.28</v>
      </c>
      <c r="I51">
        <v>35.840000000000003</v>
      </c>
      <c r="J51">
        <v>781789.12</v>
      </c>
      <c r="K51">
        <v>256399.36000000002</v>
      </c>
    </row>
    <row r="52" spans="1:11" x14ac:dyDescent="0.35">
      <c r="A52" t="s">
        <v>65</v>
      </c>
      <c r="B52" t="s">
        <v>972</v>
      </c>
      <c r="C52" t="s">
        <v>17</v>
      </c>
      <c r="D52" s="1">
        <v>44805</v>
      </c>
      <c r="E52">
        <v>508827769</v>
      </c>
      <c r="F52" s="1">
        <v>44817</v>
      </c>
      <c r="G52">
        <v>2299</v>
      </c>
      <c r="H52">
        <v>205.7</v>
      </c>
      <c r="I52">
        <v>117.11</v>
      </c>
      <c r="J52">
        <v>472904.3</v>
      </c>
      <c r="K52">
        <v>269235.89</v>
      </c>
    </row>
    <row r="53" spans="1:11" x14ac:dyDescent="0.35">
      <c r="A53" t="s">
        <v>66</v>
      </c>
      <c r="B53" t="s">
        <v>986</v>
      </c>
      <c r="C53" t="s">
        <v>19</v>
      </c>
      <c r="D53" s="1">
        <v>43938</v>
      </c>
      <c r="E53">
        <v>934019696</v>
      </c>
      <c r="F53" s="1">
        <v>43958</v>
      </c>
      <c r="G53">
        <v>6039</v>
      </c>
      <c r="H53">
        <v>154.06</v>
      </c>
      <c r="I53">
        <v>90.93</v>
      </c>
      <c r="J53">
        <v>930368.34</v>
      </c>
      <c r="K53">
        <v>549126.27</v>
      </c>
    </row>
    <row r="54" spans="1:11" x14ac:dyDescent="0.35">
      <c r="A54" t="s">
        <v>67</v>
      </c>
      <c r="B54" t="s">
        <v>978</v>
      </c>
      <c r="C54" t="s">
        <v>17</v>
      </c>
      <c r="D54" s="1">
        <v>44160</v>
      </c>
      <c r="E54">
        <v>579580581</v>
      </c>
      <c r="F54" s="1">
        <v>44177</v>
      </c>
      <c r="G54">
        <v>9628</v>
      </c>
      <c r="H54">
        <v>47.45</v>
      </c>
      <c r="I54">
        <v>31.79</v>
      </c>
      <c r="J54">
        <v>456848.60000000003</v>
      </c>
      <c r="K54">
        <v>306074.12</v>
      </c>
    </row>
    <row r="55" spans="1:11" x14ac:dyDescent="0.35">
      <c r="A55" t="s">
        <v>68</v>
      </c>
      <c r="B55" t="s">
        <v>970</v>
      </c>
      <c r="C55" t="s">
        <v>12</v>
      </c>
      <c r="D55" s="1">
        <v>44435</v>
      </c>
      <c r="E55">
        <v>778371751</v>
      </c>
      <c r="F55" s="1">
        <v>44442</v>
      </c>
      <c r="G55">
        <v>6353</v>
      </c>
      <c r="H55">
        <v>421.89</v>
      </c>
      <c r="I55">
        <v>364.69</v>
      </c>
      <c r="J55">
        <v>2680267.17</v>
      </c>
      <c r="K55">
        <v>2316875.5699999998</v>
      </c>
    </row>
    <row r="56" spans="1:11" x14ac:dyDescent="0.35">
      <c r="A56" t="s">
        <v>69</v>
      </c>
      <c r="B56" t="s">
        <v>986</v>
      </c>
      <c r="C56" t="s">
        <v>19</v>
      </c>
      <c r="D56" s="1">
        <v>44393</v>
      </c>
      <c r="E56">
        <v>233567035</v>
      </c>
      <c r="F56" s="1">
        <v>44425</v>
      </c>
      <c r="G56">
        <v>6531</v>
      </c>
      <c r="H56">
        <v>154.06</v>
      </c>
      <c r="I56">
        <v>90.93</v>
      </c>
      <c r="J56">
        <v>1006165.86</v>
      </c>
      <c r="K56">
        <v>593863.83000000007</v>
      </c>
    </row>
    <row r="57" spans="1:11" x14ac:dyDescent="0.35">
      <c r="A57" t="s">
        <v>70</v>
      </c>
      <c r="B57" t="s">
        <v>978</v>
      </c>
      <c r="C57" t="s">
        <v>14</v>
      </c>
      <c r="D57" s="1">
        <v>44858</v>
      </c>
      <c r="E57">
        <v>868652760</v>
      </c>
      <c r="F57" s="1">
        <v>44903</v>
      </c>
      <c r="G57">
        <v>2510</v>
      </c>
      <c r="H57">
        <v>47.45</v>
      </c>
      <c r="I57">
        <v>31.79</v>
      </c>
      <c r="J57">
        <v>119099.5</v>
      </c>
      <c r="K57">
        <v>79792.899999999994</v>
      </c>
    </row>
    <row r="58" spans="1:11" x14ac:dyDescent="0.35">
      <c r="A58" t="s">
        <v>71</v>
      </c>
      <c r="B58" t="s">
        <v>986</v>
      </c>
      <c r="C58" t="s">
        <v>17</v>
      </c>
      <c r="D58" s="1">
        <v>44188</v>
      </c>
      <c r="E58">
        <v>177427756</v>
      </c>
      <c r="F58" s="1">
        <v>44227</v>
      </c>
      <c r="G58">
        <v>3671</v>
      </c>
      <c r="H58">
        <v>154.06</v>
      </c>
      <c r="I58">
        <v>90.93</v>
      </c>
      <c r="J58">
        <v>565554.26</v>
      </c>
      <c r="K58">
        <v>333804.03000000003</v>
      </c>
    </row>
    <row r="59" spans="1:11" x14ac:dyDescent="0.35">
      <c r="A59" t="s">
        <v>72</v>
      </c>
      <c r="B59" t="s">
        <v>972</v>
      </c>
      <c r="C59" t="s">
        <v>17</v>
      </c>
      <c r="D59" s="1">
        <v>44022</v>
      </c>
      <c r="E59">
        <v>674003350</v>
      </c>
      <c r="F59" s="1">
        <v>44042</v>
      </c>
      <c r="G59">
        <v>1424</v>
      </c>
      <c r="H59">
        <v>205.7</v>
      </c>
      <c r="I59">
        <v>117.11</v>
      </c>
      <c r="J59">
        <v>292916.8</v>
      </c>
      <c r="K59">
        <v>166764.63999999998</v>
      </c>
    </row>
    <row r="60" spans="1:11" x14ac:dyDescent="0.35">
      <c r="A60" t="s">
        <v>73</v>
      </c>
      <c r="B60" t="s">
        <v>988</v>
      </c>
      <c r="C60" t="s">
        <v>17</v>
      </c>
      <c r="D60" s="1">
        <v>44577</v>
      </c>
      <c r="E60">
        <v>442803370</v>
      </c>
      <c r="F60" s="1">
        <v>44610</v>
      </c>
      <c r="G60">
        <v>4212</v>
      </c>
      <c r="H60">
        <v>109.28</v>
      </c>
      <c r="I60">
        <v>35.840000000000003</v>
      </c>
      <c r="J60">
        <v>460287.36</v>
      </c>
      <c r="K60">
        <v>150958.08000000002</v>
      </c>
    </row>
    <row r="61" spans="1:11" x14ac:dyDescent="0.35">
      <c r="A61" t="s">
        <v>74</v>
      </c>
      <c r="B61" t="s">
        <v>976</v>
      </c>
      <c r="C61" t="s">
        <v>12</v>
      </c>
      <c r="D61" s="1">
        <v>44131</v>
      </c>
      <c r="E61">
        <v>788564145</v>
      </c>
      <c r="F61" s="1">
        <v>44166</v>
      </c>
      <c r="G61">
        <v>2509</v>
      </c>
      <c r="H61">
        <v>255.28</v>
      </c>
      <c r="I61">
        <v>159.41999999999999</v>
      </c>
      <c r="J61">
        <v>640497.52</v>
      </c>
      <c r="K61">
        <v>399984.77999999997</v>
      </c>
    </row>
    <row r="62" spans="1:11" x14ac:dyDescent="0.35">
      <c r="A62" t="s">
        <v>75</v>
      </c>
      <c r="B62" t="s">
        <v>980</v>
      </c>
      <c r="C62" t="s">
        <v>19</v>
      </c>
      <c r="D62" s="1">
        <v>44763</v>
      </c>
      <c r="E62">
        <v>386334502</v>
      </c>
      <c r="F62" s="1">
        <v>44784</v>
      </c>
      <c r="G62">
        <v>3819</v>
      </c>
      <c r="H62">
        <v>437.2</v>
      </c>
      <c r="I62">
        <v>263.33</v>
      </c>
      <c r="J62">
        <v>1669666.8</v>
      </c>
      <c r="K62">
        <v>1005657.2699999999</v>
      </c>
    </row>
    <row r="63" spans="1:11" x14ac:dyDescent="0.35">
      <c r="A63" t="s">
        <v>76</v>
      </c>
      <c r="B63" t="s">
        <v>982</v>
      </c>
      <c r="C63" t="s">
        <v>12</v>
      </c>
      <c r="D63" s="1">
        <v>44522</v>
      </c>
      <c r="E63">
        <v>231475770</v>
      </c>
      <c r="F63" s="1">
        <v>44523</v>
      </c>
      <c r="G63">
        <v>7679</v>
      </c>
      <c r="H63">
        <v>81.73</v>
      </c>
      <c r="I63">
        <v>56.67</v>
      </c>
      <c r="J63">
        <v>627604.67000000004</v>
      </c>
      <c r="K63">
        <v>435168.93</v>
      </c>
    </row>
    <row r="64" spans="1:11" x14ac:dyDescent="0.35">
      <c r="A64" t="s">
        <v>77</v>
      </c>
      <c r="B64" t="s">
        <v>990</v>
      </c>
      <c r="C64" t="s">
        <v>19</v>
      </c>
      <c r="D64" s="1">
        <v>44214</v>
      </c>
      <c r="E64">
        <v>489661777</v>
      </c>
      <c r="F64" s="1">
        <v>44238</v>
      </c>
      <c r="G64">
        <v>656</v>
      </c>
      <c r="H64">
        <v>668.27</v>
      </c>
      <c r="I64">
        <v>502.54</v>
      </c>
      <c r="J64">
        <v>438385.12</v>
      </c>
      <c r="K64">
        <v>329666.24</v>
      </c>
    </row>
    <row r="65" spans="1:11" x14ac:dyDescent="0.35">
      <c r="A65" t="s">
        <v>78</v>
      </c>
      <c r="B65" t="s">
        <v>982</v>
      </c>
      <c r="C65" t="s">
        <v>17</v>
      </c>
      <c r="D65" s="1">
        <v>44791</v>
      </c>
      <c r="E65">
        <v>946878850</v>
      </c>
      <c r="F65" s="1">
        <v>44839</v>
      </c>
      <c r="G65">
        <v>1348</v>
      </c>
      <c r="H65">
        <v>81.73</v>
      </c>
      <c r="I65">
        <v>56.67</v>
      </c>
      <c r="J65">
        <v>110172.04000000001</v>
      </c>
      <c r="K65">
        <v>76391.16</v>
      </c>
    </row>
    <row r="66" spans="1:11" x14ac:dyDescent="0.35">
      <c r="A66" t="s">
        <v>79</v>
      </c>
      <c r="B66" t="s">
        <v>970</v>
      </c>
      <c r="C66" t="s">
        <v>17</v>
      </c>
      <c r="D66" s="1">
        <v>44743</v>
      </c>
      <c r="E66">
        <v>559425818</v>
      </c>
      <c r="F66" s="1">
        <v>44765</v>
      </c>
      <c r="G66">
        <v>5386</v>
      </c>
      <c r="H66">
        <v>421.89</v>
      </c>
      <c r="I66">
        <v>364.69</v>
      </c>
      <c r="J66">
        <v>2272299.54</v>
      </c>
      <c r="K66">
        <v>1964220.34</v>
      </c>
    </row>
    <row r="67" spans="1:11" x14ac:dyDescent="0.35">
      <c r="A67" t="s">
        <v>80</v>
      </c>
      <c r="B67" t="s">
        <v>986</v>
      </c>
      <c r="C67" t="s">
        <v>19</v>
      </c>
      <c r="D67" s="1">
        <v>44795</v>
      </c>
      <c r="E67">
        <v>603914010</v>
      </c>
      <c r="F67" s="1">
        <v>44805</v>
      </c>
      <c r="G67">
        <v>431</v>
      </c>
      <c r="H67">
        <v>154.06</v>
      </c>
      <c r="I67">
        <v>90.93</v>
      </c>
      <c r="J67">
        <v>66399.86</v>
      </c>
      <c r="K67">
        <v>39190.83</v>
      </c>
    </row>
    <row r="68" spans="1:11" x14ac:dyDescent="0.35">
      <c r="A68" t="s">
        <v>81</v>
      </c>
      <c r="B68" t="s">
        <v>974</v>
      </c>
      <c r="C68" t="s">
        <v>12</v>
      </c>
      <c r="D68" s="1">
        <v>44251</v>
      </c>
      <c r="E68">
        <v>627267253</v>
      </c>
      <c r="F68" s="1">
        <v>44263</v>
      </c>
      <c r="G68">
        <v>1174</v>
      </c>
      <c r="H68">
        <v>9.33</v>
      </c>
      <c r="I68">
        <v>6.92</v>
      </c>
      <c r="J68">
        <v>10953.42</v>
      </c>
      <c r="K68">
        <v>8124.08</v>
      </c>
    </row>
    <row r="69" spans="1:11" x14ac:dyDescent="0.35">
      <c r="A69" t="s">
        <v>82</v>
      </c>
      <c r="B69" t="s">
        <v>976</v>
      </c>
      <c r="C69" t="s">
        <v>14</v>
      </c>
      <c r="D69" s="1">
        <v>44652</v>
      </c>
      <c r="E69">
        <v>696721875</v>
      </c>
      <c r="F69" s="1">
        <v>44693</v>
      </c>
      <c r="G69">
        <v>4340</v>
      </c>
      <c r="H69">
        <v>255.28</v>
      </c>
      <c r="I69">
        <v>159.41999999999999</v>
      </c>
      <c r="J69">
        <v>1107915.2</v>
      </c>
      <c r="K69">
        <v>691882.79999999993</v>
      </c>
    </row>
    <row r="70" spans="1:11" x14ac:dyDescent="0.35">
      <c r="A70" t="s">
        <v>83</v>
      </c>
      <c r="B70" t="s">
        <v>982</v>
      </c>
      <c r="C70" t="s">
        <v>17</v>
      </c>
      <c r="D70" s="1">
        <v>44030</v>
      </c>
      <c r="E70">
        <v>949826705</v>
      </c>
      <c r="F70" s="1">
        <v>44080</v>
      </c>
      <c r="G70">
        <v>3684</v>
      </c>
      <c r="H70">
        <v>81.73</v>
      </c>
      <c r="I70">
        <v>56.67</v>
      </c>
      <c r="J70">
        <v>301093.32</v>
      </c>
      <c r="K70">
        <v>208772.28</v>
      </c>
    </row>
    <row r="71" spans="1:11" x14ac:dyDescent="0.35">
      <c r="A71" t="s">
        <v>84</v>
      </c>
      <c r="B71" t="s">
        <v>982</v>
      </c>
      <c r="C71" t="s">
        <v>17</v>
      </c>
      <c r="D71" s="1">
        <v>44742</v>
      </c>
      <c r="E71">
        <v>244443070</v>
      </c>
      <c r="F71" s="1">
        <v>44745</v>
      </c>
      <c r="G71">
        <v>4991</v>
      </c>
      <c r="H71">
        <v>81.73</v>
      </c>
      <c r="I71">
        <v>56.67</v>
      </c>
      <c r="J71">
        <v>407914.43</v>
      </c>
      <c r="K71">
        <v>282839.97000000003</v>
      </c>
    </row>
    <row r="72" spans="1:11" x14ac:dyDescent="0.35">
      <c r="A72" t="s">
        <v>85</v>
      </c>
      <c r="B72" t="s">
        <v>990</v>
      </c>
      <c r="C72" t="s">
        <v>14</v>
      </c>
      <c r="D72" s="1">
        <v>44590</v>
      </c>
      <c r="E72">
        <v>208744800</v>
      </c>
      <c r="F72" s="1">
        <v>44595</v>
      </c>
      <c r="G72">
        <v>1080</v>
      </c>
      <c r="H72">
        <v>668.27</v>
      </c>
      <c r="I72">
        <v>502.54</v>
      </c>
      <c r="J72">
        <v>721731.6</v>
      </c>
      <c r="K72">
        <v>542743.20000000007</v>
      </c>
    </row>
    <row r="73" spans="1:11" x14ac:dyDescent="0.35">
      <c r="A73" t="s">
        <v>86</v>
      </c>
      <c r="B73" t="s">
        <v>970</v>
      </c>
      <c r="C73" t="s">
        <v>12</v>
      </c>
      <c r="D73" s="1">
        <v>44660</v>
      </c>
      <c r="E73">
        <v>291218221</v>
      </c>
      <c r="F73" s="1">
        <v>44683</v>
      </c>
      <c r="G73">
        <v>6798</v>
      </c>
      <c r="H73">
        <v>421.89</v>
      </c>
      <c r="I73">
        <v>364.69</v>
      </c>
      <c r="J73">
        <v>2868008.2199999997</v>
      </c>
      <c r="K73">
        <v>2479162.62</v>
      </c>
    </row>
    <row r="74" spans="1:11" x14ac:dyDescent="0.35">
      <c r="A74" t="s">
        <v>87</v>
      </c>
      <c r="B74" t="s">
        <v>990</v>
      </c>
      <c r="C74" t="s">
        <v>19</v>
      </c>
      <c r="D74" s="1">
        <v>44614</v>
      </c>
      <c r="E74">
        <v>910662162</v>
      </c>
      <c r="F74" s="1">
        <v>44625</v>
      </c>
      <c r="G74">
        <v>4025</v>
      </c>
      <c r="H74">
        <v>668.27</v>
      </c>
      <c r="I74">
        <v>502.54</v>
      </c>
      <c r="J74">
        <v>2689786.75</v>
      </c>
      <c r="K74">
        <v>2022723.5</v>
      </c>
    </row>
    <row r="75" spans="1:11" x14ac:dyDescent="0.35">
      <c r="A75" t="s">
        <v>88</v>
      </c>
      <c r="B75" t="s">
        <v>984</v>
      </c>
      <c r="C75" t="s">
        <v>19</v>
      </c>
      <c r="D75" s="1">
        <v>44264</v>
      </c>
      <c r="E75">
        <v>306187951</v>
      </c>
      <c r="F75" s="1">
        <v>44303</v>
      </c>
      <c r="G75">
        <v>6674</v>
      </c>
      <c r="H75">
        <v>651.21</v>
      </c>
      <c r="I75">
        <v>524.96</v>
      </c>
      <c r="J75">
        <v>4346175.54</v>
      </c>
      <c r="K75">
        <v>3503583.04</v>
      </c>
    </row>
    <row r="76" spans="1:11" x14ac:dyDescent="0.35">
      <c r="A76" t="s">
        <v>89</v>
      </c>
      <c r="B76" t="s">
        <v>974</v>
      </c>
      <c r="C76" t="s">
        <v>14</v>
      </c>
      <c r="D76" s="1">
        <v>44090</v>
      </c>
      <c r="E76">
        <v>387219417</v>
      </c>
      <c r="F76" s="1">
        <v>44101</v>
      </c>
      <c r="G76">
        <v>5685</v>
      </c>
      <c r="H76">
        <v>9.33</v>
      </c>
      <c r="I76">
        <v>6.92</v>
      </c>
      <c r="J76">
        <v>53041.05</v>
      </c>
      <c r="K76">
        <v>39340.199999999997</v>
      </c>
    </row>
    <row r="77" spans="1:11" x14ac:dyDescent="0.35">
      <c r="A77" t="s">
        <v>90</v>
      </c>
      <c r="B77" t="s">
        <v>986</v>
      </c>
      <c r="C77" t="s">
        <v>17</v>
      </c>
      <c r="D77" s="1">
        <v>44717</v>
      </c>
      <c r="E77">
        <v>883492887</v>
      </c>
      <c r="F77" s="1">
        <v>44717</v>
      </c>
      <c r="G77">
        <v>4033</v>
      </c>
      <c r="H77">
        <v>154.06</v>
      </c>
      <c r="I77">
        <v>90.93</v>
      </c>
      <c r="J77">
        <v>621323.98</v>
      </c>
      <c r="K77">
        <v>366720.69</v>
      </c>
    </row>
    <row r="78" spans="1:11" x14ac:dyDescent="0.35">
      <c r="A78" t="s">
        <v>91</v>
      </c>
      <c r="B78" t="s">
        <v>978</v>
      </c>
      <c r="C78" t="s">
        <v>17</v>
      </c>
      <c r="D78" s="1">
        <v>44310</v>
      </c>
      <c r="E78">
        <v>695057189</v>
      </c>
      <c r="F78" s="1">
        <v>44324</v>
      </c>
      <c r="G78">
        <v>1723</v>
      </c>
      <c r="H78">
        <v>47.45</v>
      </c>
      <c r="I78">
        <v>31.79</v>
      </c>
      <c r="J78">
        <v>81756.350000000006</v>
      </c>
      <c r="K78">
        <v>54774.17</v>
      </c>
    </row>
    <row r="79" spans="1:11" x14ac:dyDescent="0.35">
      <c r="A79" t="s">
        <v>92</v>
      </c>
      <c r="B79" t="s">
        <v>980</v>
      </c>
      <c r="C79" t="s">
        <v>17</v>
      </c>
      <c r="D79" s="1">
        <v>44309</v>
      </c>
      <c r="E79">
        <v>142273652</v>
      </c>
      <c r="F79" s="1">
        <v>44332</v>
      </c>
      <c r="G79">
        <v>790</v>
      </c>
      <c r="H79">
        <v>437.2</v>
      </c>
      <c r="I79">
        <v>263.33</v>
      </c>
      <c r="J79">
        <v>345388</v>
      </c>
      <c r="K79">
        <v>208030.69999999998</v>
      </c>
    </row>
    <row r="80" spans="1:11" x14ac:dyDescent="0.35">
      <c r="A80" t="s">
        <v>93</v>
      </c>
      <c r="B80" t="s">
        <v>972</v>
      </c>
      <c r="C80" t="s">
        <v>17</v>
      </c>
      <c r="D80" s="1">
        <v>44740</v>
      </c>
      <c r="E80">
        <v>515816104</v>
      </c>
      <c r="F80" s="1">
        <v>44779</v>
      </c>
      <c r="G80">
        <v>303</v>
      </c>
      <c r="H80">
        <v>205.7</v>
      </c>
      <c r="I80">
        <v>117.11</v>
      </c>
      <c r="J80">
        <v>62327.1</v>
      </c>
      <c r="K80">
        <v>35484.33</v>
      </c>
    </row>
    <row r="81" spans="1:11" x14ac:dyDescent="0.35">
      <c r="A81" t="s">
        <v>94</v>
      </c>
      <c r="B81" t="s">
        <v>982</v>
      </c>
      <c r="C81" t="s">
        <v>17</v>
      </c>
      <c r="D81" s="1">
        <v>44726</v>
      </c>
      <c r="E81">
        <v>926670873</v>
      </c>
      <c r="F81" s="1">
        <v>44759</v>
      </c>
      <c r="G81">
        <v>1359</v>
      </c>
      <c r="H81">
        <v>81.73</v>
      </c>
      <c r="I81">
        <v>56.67</v>
      </c>
      <c r="J81">
        <v>111071.07</v>
      </c>
      <c r="K81">
        <v>77014.53</v>
      </c>
    </row>
    <row r="82" spans="1:11" x14ac:dyDescent="0.35">
      <c r="A82" t="s">
        <v>95</v>
      </c>
      <c r="B82" t="s">
        <v>990</v>
      </c>
      <c r="C82" t="s">
        <v>17</v>
      </c>
      <c r="D82" s="1">
        <v>44062</v>
      </c>
      <c r="E82">
        <v>556136786</v>
      </c>
      <c r="F82" s="1">
        <v>44079</v>
      </c>
      <c r="G82">
        <v>2089</v>
      </c>
      <c r="H82">
        <v>668.27</v>
      </c>
      <c r="I82">
        <v>502.54</v>
      </c>
      <c r="J82">
        <v>1396016.03</v>
      </c>
      <c r="K82">
        <v>1049806.06</v>
      </c>
    </row>
    <row r="83" spans="1:11" x14ac:dyDescent="0.35">
      <c r="A83" t="s">
        <v>96</v>
      </c>
      <c r="B83" t="s">
        <v>976</v>
      </c>
      <c r="C83" t="s">
        <v>17</v>
      </c>
      <c r="D83" s="1">
        <v>44779</v>
      </c>
      <c r="E83">
        <v>905825173</v>
      </c>
      <c r="F83" s="1">
        <v>44795</v>
      </c>
      <c r="G83">
        <v>2653</v>
      </c>
      <c r="H83">
        <v>255.28</v>
      </c>
      <c r="I83">
        <v>159.41999999999999</v>
      </c>
      <c r="J83">
        <v>677257.84</v>
      </c>
      <c r="K83">
        <v>422941.25999999995</v>
      </c>
    </row>
    <row r="84" spans="1:11" x14ac:dyDescent="0.35">
      <c r="A84" t="s">
        <v>97</v>
      </c>
      <c r="B84" t="s">
        <v>984</v>
      </c>
      <c r="C84" t="s">
        <v>12</v>
      </c>
      <c r="D84" s="1">
        <v>44354</v>
      </c>
      <c r="E84">
        <v>847659862</v>
      </c>
      <c r="F84" s="1">
        <v>44399</v>
      </c>
      <c r="G84">
        <v>245</v>
      </c>
      <c r="H84">
        <v>651.21</v>
      </c>
      <c r="I84">
        <v>524.96</v>
      </c>
      <c r="J84">
        <v>159546.45000000001</v>
      </c>
      <c r="K84">
        <v>128615.20000000001</v>
      </c>
    </row>
    <row r="85" spans="1:11" x14ac:dyDescent="0.35">
      <c r="A85" t="s">
        <v>98</v>
      </c>
      <c r="B85" t="s">
        <v>970</v>
      </c>
      <c r="C85" t="s">
        <v>17</v>
      </c>
      <c r="D85" s="1">
        <v>44587</v>
      </c>
      <c r="E85">
        <v>673877179</v>
      </c>
      <c r="F85" s="1">
        <v>44613</v>
      </c>
      <c r="G85">
        <v>4087</v>
      </c>
      <c r="H85">
        <v>421.89</v>
      </c>
      <c r="I85">
        <v>364.69</v>
      </c>
      <c r="J85">
        <v>1724264.43</v>
      </c>
      <c r="K85">
        <v>1490488.03</v>
      </c>
    </row>
    <row r="86" spans="1:11" x14ac:dyDescent="0.35">
      <c r="A86" t="s">
        <v>99</v>
      </c>
      <c r="B86" t="s">
        <v>976</v>
      </c>
      <c r="C86" t="s">
        <v>17</v>
      </c>
      <c r="D86" s="1">
        <v>44818</v>
      </c>
      <c r="E86">
        <v>747025954</v>
      </c>
      <c r="F86" s="1">
        <v>44846</v>
      </c>
      <c r="G86">
        <v>435</v>
      </c>
      <c r="H86">
        <v>255.28</v>
      </c>
      <c r="I86">
        <v>159.41999999999999</v>
      </c>
      <c r="J86">
        <v>111046.8</v>
      </c>
      <c r="K86">
        <v>69347.7</v>
      </c>
    </row>
    <row r="87" spans="1:11" x14ac:dyDescent="0.35">
      <c r="A87" t="s">
        <v>100</v>
      </c>
      <c r="B87" t="s">
        <v>980</v>
      </c>
      <c r="C87" t="s">
        <v>19</v>
      </c>
      <c r="D87" s="1">
        <v>44531</v>
      </c>
      <c r="E87">
        <v>149967515</v>
      </c>
      <c r="F87" s="1">
        <v>44557</v>
      </c>
      <c r="G87">
        <v>7575</v>
      </c>
      <c r="H87">
        <v>437.2</v>
      </c>
      <c r="I87">
        <v>263.33</v>
      </c>
      <c r="J87">
        <v>3311790</v>
      </c>
      <c r="K87">
        <v>1994724.7499999998</v>
      </c>
    </row>
    <row r="88" spans="1:11" x14ac:dyDescent="0.35">
      <c r="A88" t="s">
        <v>101</v>
      </c>
      <c r="B88" t="s">
        <v>982</v>
      </c>
      <c r="C88" t="s">
        <v>12</v>
      </c>
      <c r="D88" s="1">
        <v>43878</v>
      </c>
      <c r="E88">
        <v>735875689</v>
      </c>
      <c r="F88" s="1">
        <v>43915</v>
      </c>
      <c r="G88">
        <v>824</v>
      </c>
      <c r="H88">
        <v>81.73</v>
      </c>
      <c r="I88">
        <v>56.67</v>
      </c>
      <c r="J88">
        <v>67345.52</v>
      </c>
      <c r="K88">
        <v>46696.08</v>
      </c>
    </row>
    <row r="89" spans="1:11" x14ac:dyDescent="0.35">
      <c r="A89" t="s">
        <v>102</v>
      </c>
      <c r="B89" t="s">
        <v>984</v>
      </c>
      <c r="C89" t="s">
        <v>12</v>
      </c>
      <c r="D89" s="1">
        <v>44205</v>
      </c>
      <c r="E89">
        <v>378236806</v>
      </c>
      <c r="F89" s="1">
        <v>44245</v>
      </c>
      <c r="G89">
        <v>7531</v>
      </c>
      <c r="H89">
        <v>651.21</v>
      </c>
      <c r="I89">
        <v>524.96</v>
      </c>
      <c r="J89">
        <v>4904262.5100000007</v>
      </c>
      <c r="K89">
        <v>3953473.7600000002</v>
      </c>
    </row>
    <row r="90" spans="1:11" x14ac:dyDescent="0.35">
      <c r="A90" t="s">
        <v>103</v>
      </c>
      <c r="B90" t="s">
        <v>980</v>
      </c>
      <c r="C90" t="s">
        <v>14</v>
      </c>
      <c r="D90" s="1">
        <v>44392</v>
      </c>
      <c r="E90">
        <v>620849692</v>
      </c>
      <c r="F90" s="1">
        <v>44395</v>
      </c>
      <c r="G90">
        <v>2075</v>
      </c>
      <c r="H90">
        <v>437.2</v>
      </c>
      <c r="I90">
        <v>263.33</v>
      </c>
      <c r="J90">
        <v>907190</v>
      </c>
      <c r="K90">
        <v>546409.75</v>
      </c>
    </row>
    <row r="91" spans="1:11" x14ac:dyDescent="0.35">
      <c r="A91" t="s">
        <v>104</v>
      </c>
      <c r="B91" t="s">
        <v>968</v>
      </c>
      <c r="C91" t="s">
        <v>17</v>
      </c>
      <c r="D91" s="1">
        <v>44511</v>
      </c>
      <c r="E91">
        <v>827825677</v>
      </c>
      <c r="F91" s="1">
        <v>44519</v>
      </c>
      <c r="G91">
        <v>869</v>
      </c>
      <c r="H91">
        <v>152.58000000000001</v>
      </c>
      <c r="I91">
        <v>97.44</v>
      </c>
      <c r="J91">
        <v>132592.02000000002</v>
      </c>
      <c r="K91">
        <v>84675.36</v>
      </c>
    </row>
    <row r="92" spans="1:11" x14ac:dyDescent="0.35">
      <c r="A92" t="s">
        <v>105</v>
      </c>
      <c r="B92" t="s">
        <v>990</v>
      </c>
      <c r="C92" t="s">
        <v>12</v>
      </c>
      <c r="D92" s="1">
        <v>44260</v>
      </c>
      <c r="E92">
        <v>433588588</v>
      </c>
      <c r="F92" s="1">
        <v>44283</v>
      </c>
      <c r="G92">
        <v>7353</v>
      </c>
      <c r="H92">
        <v>668.27</v>
      </c>
      <c r="I92">
        <v>502.54</v>
      </c>
      <c r="J92">
        <v>4913789.3099999996</v>
      </c>
      <c r="K92">
        <v>3695176.62</v>
      </c>
    </row>
    <row r="93" spans="1:11" x14ac:dyDescent="0.35">
      <c r="A93" t="s">
        <v>106</v>
      </c>
      <c r="B93" t="s">
        <v>970</v>
      </c>
      <c r="C93" t="s">
        <v>14</v>
      </c>
      <c r="D93" s="1">
        <v>44524</v>
      </c>
      <c r="E93">
        <v>292874753</v>
      </c>
      <c r="F93" s="1">
        <v>44555</v>
      </c>
      <c r="G93">
        <v>7003</v>
      </c>
      <c r="H93">
        <v>421.89</v>
      </c>
      <c r="I93">
        <v>364.69</v>
      </c>
      <c r="J93">
        <v>2954495.67</v>
      </c>
      <c r="K93">
        <v>2553924.0699999998</v>
      </c>
    </row>
    <row r="94" spans="1:11" x14ac:dyDescent="0.35">
      <c r="A94" t="s">
        <v>107</v>
      </c>
      <c r="B94" t="s">
        <v>984</v>
      </c>
      <c r="C94" t="s">
        <v>17</v>
      </c>
      <c r="D94" s="1">
        <v>44773</v>
      </c>
      <c r="E94">
        <v>430733001</v>
      </c>
      <c r="F94" s="1">
        <v>44775</v>
      </c>
      <c r="G94">
        <v>2322</v>
      </c>
      <c r="H94">
        <v>651.21</v>
      </c>
      <c r="I94">
        <v>524.96</v>
      </c>
      <c r="J94">
        <v>1512109.62</v>
      </c>
      <c r="K94">
        <v>1218957.1200000001</v>
      </c>
    </row>
    <row r="95" spans="1:11" x14ac:dyDescent="0.35">
      <c r="A95" t="s">
        <v>108</v>
      </c>
      <c r="B95" t="s">
        <v>974</v>
      </c>
      <c r="C95" t="s">
        <v>19</v>
      </c>
      <c r="D95" s="1">
        <v>44623</v>
      </c>
      <c r="E95">
        <v>492524659</v>
      </c>
      <c r="F95" s="1">
        <v>44645</v>
      </c>
      <c r="G95">
        <v>7846</v>
      </c>
      <c r="H95">
        <v>9.33</v>
      </c>
      <c r="I95">
        <v>6.92</v>
      </c>
      <c r="J95">
        <v>73203.180000000008</v>
      </c>
      <c r="K95">
        <v>54294.32</v>
      </c>
    </row>
    <row r="96" spans="1:11" x14ac:dyDescent="0.35">
      <c r="A96" t="s">
        <v>109</v>
      </c>
      <c r="B96" t="s">
        <v>978</v>
      </c>
      <c r="C96" t="s">
        <v>17</v>
      </c>
      <c r="D96" s="1">
        <v>44356</v>
      </c>
      <c r="E96">
        <v>193923556</v>
      </c>
      <c r="F96" s="1">
        <v>44367</v>
      </c>
      <c r="G96">
        <v>5145</v>
      </c>
      <c r="H96">
        <v>47.45</v>
      </c>
      <c r="I96">
        <v>31.79</v>
      </c>
      <c r="J96">
        <v>244130.25000000003</v>
      </c>
      <c r="K96">
        <v>163559.54999999999</v>
      </c>
    </row>
    <row r="97" spans="1:11" x14ac:dyDescent="0.35">
      <c r="A97" t="s">
        <v>110</v>
      </c>
      <c r="B97" t="s">
        <v>978</v>
      </c>
      <c r="C97" t="s">
        <v>17</v>
      </c>
      <c r="D97" s="1">
        <v>44403</v>
      </c>
      <c r="E97">
        <v>670916020</v>
      </c>
      <c r="F97" s="1">
        <v>44410</v>
      </c>
      <c r="G97">
        <v>7815</v>
      </c>
      <c r="H97">
        <v>47.45</v>
      </c>
      <c r="I97">
        <v>31.79</v>
      </c>
      <c r="J97">
        <v>370821.75</v>
      </c>
      <c r="K97">
        <v>248438.85</v>
      </c>
    </row>
    <row r="98" spans="1:11" x14ac:dyDescent="0.35">
      <c r="A98" t="s">
        <v>111</v>
      </c>
      <c r="B98" t="s">
        <v>976</v>
      </c>
      <c r="C98" t="s">
        <v>12</v>
      </c>
      <c r="D98" s="1">
        <v>44821</v>
      </c>
      <c r="E98">
        <v>429800879</v>
      </c>
      <c r="F98" s="1">
        <v>44853</v>
      </c>
      <c r="G98">
        <v>6486</v>
      </c>
      <c r="H98">
        <v>255.28</v>
      </c>
      <c r="I98">
        <v>159.41999999999999</v>
      </c>
      <c r="J98">
        <v>1655746.08</v>
      </c>
      <c r="K98">
        <v>1033998.1199999999</v>
      </c>
    </row>
    <row r="99" spans="1:11" x14ac:dyDescent="0.35">
      <c r="A99" t="s">
        <v>112</v>
      </c>
      <c r="B99" t="s">
        <v>990</v>
      </c>
      <c r="C99" t="s">
        <v>14</v>
      </c>
      <c r="D99" s="1">
        <v>44767</v>
      </c>
      <c r="E99">
        <v>297189462</v>
      </c>
      <c r="F99" s="1">
        <v>44792</v>
      </c>
      <c r="G99">
        <v>3821</v>
      </c>
      <c r="H99">
        <v>668.27</v>
      </c>
      <c r="I99">
        <v>502.54</v>
      </c>
      <c r="J99">
        <v>2553459.67</v>
      </c>
      <c r="K99">
        <v>1920205.34</v>
      </c>
    </row>
    <row r="100" spans="1:11" x14ac:dyDescent="0.35">
      <c r="A100" t="s">
        <v>113</v>
      </c>
      <c r="B100" t="s">
        <v>982</v>
      </c>
      <c r="C100" t="s">
        <v>19</v>
      </c>
      <c r="D100" s="1">
        <v>44069</v>
      </c>
      <c r="E100">
        <v>270005595</v>
      </c>
      <c r="F100" s="1">
        <v>44078</v>
      </c>
      <c r="G100">
        <v>9511</v>
      </c>
      <c r="H100">
        <v>81.73</v>
      </c>
      <c r="I100">
        <v>56.67</v>
      </c>
      <c r="J100">
        <v>777334.03</v>
      </c>
      <c r="K100">
        <v>538988.37</v>
      </c>
    </row>
    <row r="101" spans="1:11" x14ac:dyDescent="0.35">
      <c r="A101" t="s">
        <v>114</v>
      </c>
      <c r="B101" t="s">
        <v>968</v>
      </c>
      <c r="C101" t="s">
        <v>17</v>
      </c>
      <c r="D101" s="1">
        <v>44788</v>
      </c>
      <c r="E101">
        <v>865485608</v>
      </c>
      <c r="F101" s="1">
        <v>44814</v>
      </c>
      <c r="G101">
        <v>5279</v>
      </c>
      <c r="H101">
        <v>152.58000000000001</v>
      </c>
      <c r="I101">
        <v>97.44</v>
      </c>
      <c r="J101">
        <v>805469.82000000007</v>
      </c>
      <c r="K101">
        <v>514385.76</v>
      </c>
    </row>
    <row r="102" spans="1:11" x14ac:dyDescent="0.35">
      <c r="A102" t="s">
        <v>115</v>
      </c>
      <c r="B102" t="s">
        <v>972</v>
      </c>
      <c r="C102" t="s">
        <v>14</v>
      </c>
      <c r="D102" s="1">
        <v>44436</v>
      </c>
      <c r="E102">
        <v>871178328</v>
      </c>
      <c r="F102" s="1">
        <v>44436</v>
      </c>
      <c r="G102">
        <v>9882</v>
      </c>
      <c r="H102">
        <v>205.7</v>
      </c>
      <c r="I102">
        <v>117.11</v>
      </c>
      <c r="J102">
        <v>2032727.4</v>
      </c>
      <c r="K102">
        <v>1157281.02</v>
      </c>
    </row>
    <row r="103" spans="1:11" x14ac:dyDescent="0.35">
      <c r="A103" t="s">
        <v>116</v>
      </c>
      <c r="B103" t="s">
        <v>986</v>
      </c>
      <c r="C103" t="s">
        <v>17</v>
      </c>
      <c r="D103" s="1">
        <v>44846</v>
      </c>
      <c r="E103">
        <v>494945085</v>
      </c>
      <c r="F103" s="1">
        <v>44871</v>
      </c>
      <c r="G103">
        <v>4104</v>
      </c>
      <c r="H103">
        <v>154.06</v>
      </c>
      <c r="I103">
        <v>90.93</v>
      </c>
      <c r="J103">
        <v>632262.24</v>
      </c>
      <c r="K103">
        <v>373176.72000000003</v>
      </c>
    </row>
    <row r="104" spans="1:11" x14ac:dyDescent="0.35">
      <c r="A104" t="s">
        <v>117</v>
      </c>
      <c r="B104" t="s">
        <v>968</v>
      </c>
      <c r="C104" t="s">
        <v>12</v>
      </c>
      <c r="D104" s="1">
        <v>44345</v>
      </c>
      <c r="E104">
        <v>914959704</v>
      </c>
      <c r="F104" s="1">
        <v>44371</v>
      </c>
      <c r="G104">
        <v>5764</v>
      </c>
      <c r="H104">
        <v>152.58000000000001</v>
      </c>
      <c r="I104">
        <v>97.44</v>
      </c>
      <c r="J104">
        <v>879471.12000000011</v>
      </c>
      <c r="K104">
        <v>561644.16</v>
      </c>
    </row>
    <row r="105" spans="1:11" x14ac:dyDescent="0.35">
      <c r="A105" t="s">
        <v>118</v>
      </c>
      <c r="B105" t="s">
        <v>990</v>
      </c>
      <c r="C105" t="s">
        <v>17</v>
      </c>
      <c r="D105" s="1">
        <v>44537</v>
      </c>
      <c r="E105">
        <v>229708516</v>
      </c>
      <c r="F105" s="1">
        <v>44584</v>
      </c>
      <c r="G105">
        <v>4709</v>
      </c>
      <c r="H105">
        <v>668.27</v>
      </c>
      <c r="I105">
        <v>502.54</v>
      </c>
      <c r="J105">
        <v>3146883.4299999997</v>
      </c>
      <c r="K105">
        <v>2366460.86</v>
      </c>
    </row>
    <row r="106" spans="1:11" x14ac:dyDescent="0.35">
      <c r="A106" t="s">
        <v>119</v>
      </c>
      <c r="B106" t="s">
        <v>978</v>
      </c>
      <c r="C106" t="s">
        <v>14</v>
      </c>
      <c r="D106" s="1">
        <v>44565</v>
      </c>
      <c r="E106">
        <v>207990348</v>
      </c>
      <c r="F106" s="1">
        <v>44581</v>
      </c>
      <c r="G106">
        <v>7821</v>
      </c>
      <c r="H106">
        <v>47.45</v>
      </c>
      <c r="I106">
        <v>31.79</v>
      </c>
      <c r="J106">
        <v>371106.45</v>
      </c>
      <c r="K106">
        <v>248629.59</v>
      </c>
    </row>
    <row r="107" spans="1:11" x14ac:dyDescent="0.35">
      <c r="A107" t="s">
        <v>120</v>
      </c>
      <c r="B107" t="s">
        <v>986</v>
      </c>
      <c r="C107" t="s">
        <v>12</v>
      </c>
      <c r="D107" s="1">
        <v>44762</v>
      </c>
      <c r="E107">
        <v>438916528</v>
      </c>
      <c r="F107" s="1">
        <v>44791</v>
      </c>
      <c r="G107">
        <v>4009</v>
      </c>
      <c r="H107">
        <v>154.06</v>
      </c>
      <c r="I107">
        <v>90.93</v>
      </c>
      <c r="J107">
        <v>617626.54</v>
      </c>
      <c r="K107">
        <v>364538.37000000005</v>
      </c>
    </row>
    <row r="108" spans="1:11" x14ac:dyDescent="0.35">
      <c r="A108" t="s">
        <v>121</v>
      </c>
      <c r="B108" t="s">
        <v>976</v>
      </c>
      <c r="C108" t="s">
        <v>14</v>
      </c>
      <c r="D108" s="1">
        <v>44042</v>
      </c>
      <c r="E108">
        <v>581910884</v>
      </c>
      <c r="F108" s="1">
        <v>44059</v>
      </c>
      <c r="G108">
        <v>9217</v>
      </c>
      <c r="H108">
        <v>255.28</v>
      </c>
      <c r="I108">
        <v>159.41999999999999</v>
      </c>
      <c r="J108">
        <v>2352915.7600000002</v>
      </c>
      <c r="K108">
        <v>1469374.14</v>
      </c>
    </row>
    <row r="109" spans="1:11" x14ac:dyDescent="0.35">
      <c r="A109" t="s">
        <v>122</v>
      </c>
      <c r="B109" t="s">
        <v>970</v>
      </c>
      <c r="C109" t="s">
        <v>14</v>
      </c>
      <c r="D109" s="1">
        <v>44596</v>
      </c>
      <c r="E109">
        <v>816709744</v>
      </c>
      <c r="F109" s="1">
        <v>44621</v>
      </c>
      <c r="G109">
        <v>1417</v>
      </c>
      <c r="H109">
        <v>421.89</v>
      </c>
      <c r="I109">
        <v>364.69</v>
      </c>
      <c r="J109">
        <v>597818.13</v>
      </c>
      <c r="K109">
        <v>516765.73</v>
      </c>
    </row>
    <row r="110" spans="1:11" x14ac:dyDescent="0.35">
      <c r="A110" t="s">
        <v>123</v>
      </c>
      <c r="B110" t="s">
        <v>990</v>
      </c>
      <c r="C110" t="s">
        <v>14</v>
      </c>
      <c r="D110" s="1">
        <v>44067</v>
      </c>
      <c r="E110">
        <v>493361937</v>
      </c>
      <c r="F110" s="1">
        <v>44103</v>
      </c>
      <c r="G110">
        <v>5616</v>
      </c>
      <c r="H110">
        <v>668.27</v>
      </c>
      <c r="I110">
        <v>502.54</v>
      </c>
      <c r="J110">
        <v>3753004.32</v>
      </c>
      <c r="K110">
        <v>2822264.64</v>
      </c>
    </row>
    <row r="111" spans="1:11" x14ac:dyDescent="0.35">
      <c r="A111" t="s">
        <v>124</v>
      </c>
      <c r="B111" t="s">
        <v>976</v>
      </c>
      <c r="C111" t="s">
        <v>14</v>
      </c>
      <c r="D111" s="1">
        <v>44418</v>
      </c>
      <c r="E111">
        <v>382228791</v>
      </c>
      <c r="F111" s="1">
        <v>44465</v>
      </c>
      <c r="G111">
        <v>8848</v>
      </c>
      <c r="H111">
        <v>255.28</v>
      </c>
      <c r="I111">
        <v>159.41999999999999</v>
      </c>
      <c r="J111">
        <v>2258717.44</v>
      </c>
      <c r="K111">
        <v>1410548.16</v>
      </c>
    </row>
    <row r="112" spans="1:11" x14ac:dyDescent="0.35">
      <c r="A112" t="s">
        <v>125</v>
      </c>
      <c r="B112" t="s">
        <v>980</v>
      </c>
      <c r="C112" t="s">
        <v>17</v>
      </c>
      <c r="D112" s="1">
        <v>44106</v>
      </c>
      <c r="E112">
        <v>423984134</v>
      </c>
      <c r="F112" s="1">
        <v>44149</v>
      </c>
      <c r="G112">
        <v>5182</v>
      </c>
      <c r="H112">
        <v>437.2</v>
      </c>
      <c r="I112">
        <v>263.33</v>
      </c>
      <c r="J112">
        <v>2265570.4</v>
      </c>
      <c r="K112">
        <v>1364576.0599999998</v>
      </c>
    </row>
    <row r="113" spans="1:11" x14ac:dyDescent="0.35">
      <c r="A113" t="s">
        <v>126</v>
      </c>
      <c r="B113" t="s">
        <v>970</v>
      </c>
      <c r="C113" t="s">
        <v>12</v>
      </c>
      <c r="D113" s="1">
        <v>44868</v>
      </c>
      <c r="E113">
        <v>179614293</v>
      </c>
      <c r="F113" s="1">
        <v>44888</v>
      </c>
      <c r="G113">
        <v>716</v>
      </c>
      <c r="H113">
        <v>421.89</v>
      </c>
      <c r="I113">
        <v>364.69</v>
      </c>
      <c r="J113">
        <v>302073.24</v>
      </c>
      <c r="K113">
        <v>261118.04</v>
      </c>
    </row>
    <row r="114" spans="1:11" x14ac:dyDescent="0.35">
      <c r="A114" t="s">
        <v>127</v>
      </c>
      <c r="B114" t="s">
        <v>982</v>
      </c>
      <c r="C114" t="s">
        <v>19</v>
      </c>
      <c r="D114" s="1">
        <v>43887</v>
      </c>
      <c r="E114">
        <v>180418097</v>
      </c>
      <c r="F114" s="1">
        <v>43905</v>
      </c>
      <c r="G114">
        <v>8579</v>
      </c>
      <c r="H114">
        <v>81.73</v>
      </c>
      <c r="I114">
        <v>56.67</v>
      </c>
      <c r="J114">
        <v>701161.67</v>
      </c>
      <c r="K114">
        <v>486171.93</v>
      </c>
    </row>
    <row r="115" spans="1:11" x14ac:dyDescent="0.35">
      <c r="A115" t="s">
        <v>128</v>
      </c>
      <c r="B115" t="s">
        <v>970</v>
      </c>
      <c r="C115" t="s">
        <v>14</v>
      </c>
      <c r="D115" s="1">
        <v>44759</v>
      </c>
      <c r="E115">
        <v>578006875</v>
      </c>
      <c r="F115" s="1">
        <v>44794</v>
      </c>
      <c r="G115">
        <v>3934</v>
      </c>
      <c r="H115">
        <v>421.89</v>
      </c>
      <c r="I115">
        <v>364.69</v>
      </c>
      <c r="J115">
        <v>1659715.26</v>
      </c>
      <c r="K115">
        <v>1434690.46</v>
      </c>
    </row>
    <row r="116" spans="1:11" x14ac:dyDescent="0.35">
      <c r="A116" t="s">
        <v>129</v>
      </c>
      <c r="B116" t="s">
        <v>990</v>
      </c>
      <c r="C116" t="s">
        <v>14</v>
      </c>
      <c r="D116" s="1">
        <v>44440</v>
      </c>
      <c r="E116">
        <v>694304454</v>
      </c>
      <c r="F116" s="1">
        <v>44448</v>
      </c>
      <c r="G116">
        <v>8972</v>
      </c>
      <c r="H116">
        <v>668.27</v>
      </c>
      <c r="I116">
        <v>502.54</v>
      </c>
      <c r="J116">
        <v>5995718.4399999995</v>
      </c>
      <c r="K116">
        <v>4508788.88</v>
      </c>
    </row>
    <row r="117" spans="1:11" x14ac:dyDescent="0.35">
      <c r="A117" t="s">
        <v>130</v>
      </c>
      <c r="B117" t="s">
        <v>976</v>
      </c>
      <c r="C117" t="s">
        <v>14</v>
      </c>
      <c r="D117" s="1">
        <v>44210</v>
      </c>
      <c r="E117">
        <v>371547162</v>
      </c>
      <c r="F117" s="1">
        <v>44250</v>
      </c>
      <c r="G117">
        <v>7917</v>
      </c>
      <c r="H117">
        <v>255.28</v>
      </c>
      <c r="I117">
        <v>159.41999999999999</v>
      </c>
      <c r="J117">
        <v>2021051.76</v>
      </c>
      <c r="K117">
        <v>1262128.1399999999</v>
      </c>
    </row>
    <row r="118" spans="1:11" x14ac:dyDescent="0.35">
      <c r="A118" t="s">
        <v>131</v>
      </c>
      <c r="B118" t="s">
        <v>978</v>
      </c>
      <c r="C118" t="s">
        <v>19</v>
      </c>
      <c r="D118" s="1">
        <v>43927</v>
      </c>
      <c r="E118">
        <v>422283828</v>
      </c>
      <c r="F118" s="1">
        <v>43947</v>
      </c>
      <c r="G118">
        <v>2024</v>
      </c>
      <c r="H118">
        <v>47.45</v>
      </c>
      <c r="I118">
        <v>31.79</v>
      </c>
      <c r="J118">
        <v>96038.8</v>
      </c>
      <c r="K118">
        <v>64342.96</v>
      </c>
    </row>
    <row r="119" spans="1:11" x14ac:dyDescent="0.35">
      <c r="A119" t="s">
        <v>132</v>
      </c>
      <c r="B119" t="s">
        <v>972</v>
      </c>
      <c r="C119" t="s">
        <v>12</v>
      </c>
      <c r="D119" s="1">
        <v>44643</v>
      </c>
      <c r="E119">
        <v>379375779</v>
      </c>
      <c r="F119" s="1">
        <v>44643</v>
      </c>
      <c r="G119">
        <v>4578</v>
      </c>
      <c r="H119">
        <v>205.7</v>
      </c>
      <c r="I119">
        <v>117.11</v>
      </c>
      <c r="J119">
        <v>941694.6</v>
      </c>
      <c r="K119">
        <v>536129.57999999996</v>
      </c>
    </row>
    <row r="120" spans="1:11" x14ac:dyDescent="0.35">
      <c r="A120" t="s">
        <v>133</v>
      </c>
      <c r="B120" t="s">
        <v>982</v>
      </c>
      <c r="C120" t="s">
        <v>17</v>
      </c>
      <c r="D120" s="1">
        <v>43901</v>
      </c>
      <c r="E120">
        <v>745996844</v>
      </c>
      <c r="F120" s="1">
        <v>43924</v>
      </c>
      <c r="G120">
        <v>5899</v>
      </c>
      <c r="H120">
        <v>81.73</v>
      </c>
      <c r="I120">
        <v>56.67</v>
      </c>
      <c r="J120">
        <v>482125.27</v>
      </c>
      <c r="K120">
        <v>334296.33</v>
      </c>
    </row>
    <row r="121" spans="1:11" x14ac:dyDescent="0.35">
      <c r="A121" t="s">
        <v>134</v>
      </c>
      <c r="B121" t="s">
        <v>974</v>
      </c>
      <c r="C121" t="s">
        <v>17</v>
      </c>
      <c r="D121" s="1">
        <v>44612</v>
      </c>
      <c r="E121">
        <v>745633351</v>
      </c>
      <c r="F121" s="1">
        <v>44654</v>
      </c>
      <c r="G121">
        <v>8333</v>
      </c>
      <c r="H121">
        <v>9.33</v>
      </c>
      <c r="I121">
        <v>6.92</v>
      </c>
      <c r="J121">
        <v>77746.89</v>
      </c>
      <c r="K121">
        <v>57664.36</v>
      </c>
    </row>
    <row r="122" spans="1:11" x14ac:dyDescent="0.35">
      <c r="A122" t="s">
        <v>135</v>
      </c>
      <c r="B122" t="s">
        <v>968</v>
      </c>
      <c r="C122" t="s">
        <v>19</v>
      </c>
      <c r="D122" s="1">
        <v>44090</v>
      </c>
      <c r="E122">
        <v>572084128</v>
      </c>
      <c r="F122" s="1">
        <v>44140</v>
      </c>
      <c r="G122">
        <v>1261</v>
      </c>
      <c r="H122">
        <v>152.58000000000001</v>
      </c>
      <c r="I122">
        <v>97.44</v>
      </c>
      <c r="J122">
        <v>192403.38</v>
      </c>
      <c r="K122">
        <v>122871.84</v>
      </c>
    </row>
    <row r="123" spans="1:11" x14ac:dyDescent="0.35">
      <c r="A123" t="s">
        <v>136</v>
      </c>
      <c r="B123" t="s">
        <v>978</v>
      </c>
      <c r="C123" t="s">
        <v>17</v>
      </c>
      <c r="D123" s="1">
        <v>43973</v>
      </c>
      <c r="E123">
        <v>939460504</v>
      </c>
      <c r="F123" s="1">
        <v>43975</v>
      </c>
      <c r="G123">
        <v>6095</v>
      </c>
      <c r="H123">
        <v>47.45</v>
      </c>
      <c r="I123">
        <v>31.79</v>
      </c>
      <c r="J123">
        <v>289207.75</v>
      </c>
      <c r="K123">
        <v>193760.05</v>
      </c>
    </row>
    <row r="124" spans="1:11" x14ac:dyDescent="0.35">
      <c r="A124" t="s">
        <v>137</v>
      </c>
      <c r="B124" t="s">
        <v>974</v>
      </c>
      <c r="C124" t="s">
        <v>14</v>
      </c>
      <c r="D124" s="1">
        <v>44481</v>
      </c>
      <c r="E124">
        <v>832186305</v>
      </c>
      <c r="F124" s="1">
        <v>44526</v>
      </c>
      <c r="G124">
        <v>1276</v>
      </c>
      <c r="H124">
        <v>9.33</v>
      </c>
      <c r="I124">
        <v>6.92</v>
      </c>
      <c r="J124">
        <v>11905.08</v>
      </c>
      <c r="K124">
        <v>8829.92</v>
      </c>
    </row>
    <row r="125" spans="1:11" x14ac:dyDescent="0.35">
      <c r="A125" t="s">
        <v>138</v>
      </c>
      <c r="B125" t="s">
        <v>974</v>
      </c>
      <c r="C125" t="s">
        <v>17</v>
      </c>
      <c r="D125" s="1">
        <v>43889</v>
      </c>
      <c r="E125">
        <v>654997861</v>
      </c>
      <c r="F125" s="1">
        <v>43923</v>
      </c>
      <c r="G125">
        <v>7277</v>
      </c>
      <c r="H125">
        <v>9.33</v>
      </c>
      <c r="I125">
        <v>6.92</v>
      </c>
      <c r="J125">
        <v>67894.41</v>
      </c>
      <c r="K125">
        <v>50356.84</v>
      </c>
    </row>
    <row r="126" spans="1:11" x14ac:dyDescent="0.35">
      <c r="A126" t="s">
        <v>139</v>
      </c>
      <c r="B126" t="s">
        <v>970</v>
      </c>
      <c r="C126" t="s">
        <v>17</v>
      </c>
      <c r="D126" s="1">
        <v>44278</v>
      </c>
      <c r="E126">
        <v>882943999</v>
      </c>
      <c r="F126" s="1">
        <v>44293</v>
      </c>
      <c r="G126">
        <v>1605</v>
      </c>
      <c r="H126">
        <v>421.89</v>
      </c>
      <c r="I126">
        <v>364.69</v>
      </c>
      <c r="J126">
        <v>677133.45</v>
      </c>
      <c r="K126">
        <v>585327.44999999995</v>
      </c>
    </row>
    <row r="127" spans="1:11" x14ac:dyDescent="0.35">
      <c r="A127" t="s">
        <v>140</v>
      </c>
      <c r="B127" t="s">
        <v>974</v>
      </c>
      <c r="C127" t="s">
        <v>17</v>
      </c>
      <c r="D127" s="1">
        <v>44739</v>
      </c>
      <c r="E127">
        <v>711386048</v>
      </c>
      <c r="F127" s="1">
        <v>44788</v>
      </c>
      <c r="G127">
        <v>3795</v>
      </c>
      <c r="H127">
        <v>9.33</v>
      </c>
      <c r="I127">
        <v>6.92</v>
      </c>
      <c r="J127">
        <v>35407.35</v>
      </c>
      <c r="K127">
        <v>26261.4</v>
      </c>
    </row>
    <row r="128" spans="1:11" x14ac:dyDescent="0.35">
      <c r="A128" t="s">
        <v>141</v>
      </c>
      <c r="B128" t="s">
        <v>978</v>
      </c>
      <c r="C128" t="s">
        <v>17</v>
      </c>
      <c r="D128" s="1">
        <v>43991</v>
      </c>
      <c r="E128">
        <v>305997836</v>
      </c>
      <c r="F128" s="1">
        <v>44022</v>
      </c>
      <c r="G128">
        <v>415</v>
      </c>
      <c r="H128">
        <v>47.45</v>
      </c>
      <c r="I128">
        <v>31.79</v>
      </c>
      <c r="J128">
        <v>19691.75</v>
      </c>
      <c r="K128">
        <v>13192.85</v>
      </c>
    </row>
    <row r="129" spans="1:11" x14ac:dyDescent="0.35">
      <c r="A129" t="s">
        <v>142</v>
      </c>
      <c r="B129" t="s">
        <v>970</v>
      </c>
      <c r="C129" t="s">
        <v>14</v>
      </c>
      <c r="D129" s="1">
        <v>44031</v>
      </c>
      <c r="E129">
        <v>352765691</v>
      </c>
      <c r="F129" s="1">
        <v>44054</v>
      </c>
      <c r="G129">
        <v>62</v>
      </c>
      <c r="H129">
        <v>421.89</v>
      </c>
      <c r="I129">
        <v>364.69</v>
      </c>
      <c r="J129">
        <v>26157.18</v>
      </c>
      <c r="K129">
        <v>22610.78</v>
      </c>
    </row>
    <row r="130" spans="1:11" x14ac:dyDescent="0.35">
      <c r="A130" t="s">
        <v>143</v>
      </c>
      <c r="B130" t="s">
        <v>986</v>
      </c>
      <c r="C130" t="s">
        <v>12</v>
      </c>
      <c r="D130" s="1">
        <v>44392</v>
      </c>
      <c r="E130">
        <v>707988440</v>
      </c>
      <c r="F130" s="1">
        <v>44416</v>
      </c>
      <c r="G130">
        <v>8367</v>
      </c>
      <c r="H130">
        <v>154.06</v>
      </c>
      <c r="I130">
        <v>90.93</v>
      </c>
      <c r="J130">
        <v>1289020.02</v>
      </c>
      <c r="K130">
        <v>760811.31</v>
      </c>
    </row>
    <row r="131" spans="1:11" x14ac:dyDescent="0.35">
      <c r="A131" t="s">
        <v>144</v>
      </c>
      <c r="B131" t="s">
        <v>986</v>
      </c>
      <c r="C131" t="s">
        <v>19</v>
      </c>
      <c r="D131" s="1">
        <v>44755</v>
      </c>
      <c r="E131">
        <v>848277413</v>
      </c>
      <c r="F131" s="1">
        <v>44802</v>
      </c>
      <c r="G131">
        <v>2992</v>
      </c>
      <c r="H131">
        <v>154.06</v>
      </c>
      <c r="I131">
        <v>90.93</v>
      </c>
      <c r="J131">
        <v>460947.52</v>
      </c>
      <c r="K131">
        <v>272062.56</v>
      </c>
    </row>
    <row r="132" spans="1:11" x14ac:dyDescent="0.35">
      <c r="A132" t="s">
        <v>145</v>
      </c>
      <c r="B132" t="s">
        <v>990</v>
      </c>
      <c r="C132" t="s">
        <v>19</v>
      </c>
      <c r="D132" s="1">
        <v>44424</v>
      </c>
      <c r="E132">
        <v>320556437</v>
      </c>
      <c r="F132" s="1">
        <v>44464</v>
      </c>
      <c r="G132">
        <v>8628</v>
      </c>
      <c r="H132">
        <v>668.27</v>
      </c>
      <c r="I132">
        <v>502.54</v>
      </c>
      <c r="J132">
        <v>5765833.5599999996</v>
      </c>
      <c r="K132">
        <v>4335915.12</v>
      </c>
    </row>
    <row r="133" spans="1:11" x14ac:dyDescent="0.35">
      <c r="A133" t="s">
        <v>146</v>
      </c>
      <c r="B133" t="s">
        <v>976</v>
      </c>
      <c r="C133" t="s">
        <v>14</v>
      </c>
      <c r="D133" s="1">
        <v>43896</v>
      </c>
      <c r="E133">
        <v>992061841</v>
      </c>
      <c r="F133" s="1">
        <v>43914</v>
      </c>
      <c r="G133">
        <v>1999</v>
      </c>
      <c r="H133">
        <v>255.28</v>
      </c>
      <c r="I133">
        <v>159.41999999999999</v>
      </c>
      <c r="J133">
        <v>510304.72000000003</v>
      </c>
      <c r="K133">
        <v>318680.57999999996</v>
      </c>
    </row>
    <row r="134" spans="1:11" x14ac:dyDescent="0.35">
      <c r="A134" t="s">
        <v>147</v>
      </c>
      <c r="B134" t="s">
        <v>984</v>
      </c>
      <c r="C134" t="s">
        <v>19</v>
      </c>
      <c r="D134" s="1">
        <v>44336</v>
      </c>
      <c r="E134">
        <v>300342452</v>
      </c>
      <c r="F134" s="1">
        <v>44371</v>
      </c>
      <c r="G134">
        <v>6861</v>
      </c>
      <c r="H134">
        <v>651.21</v>
      </c>
      <c r="I134">
        <v>524.96</v>
      </c>
      <c r="J134">
        <v>4467951.8100000005</v>
      </c>
      <c r="K134">
        <v>3601750.56</v>
      </c>
    </row>
    <row r="135" spans="1:11" x14ac:dyDescent="0.35">
      <c r="A135" t="s">
        <v>148</v>
      </c>
      <c r="B135" t="s">
        <v>986</v>
      </c>
      <c r="C135" t="s">
        <v>14</v>
      </c>
      <c r="D135" s="1">
        <v>43923</v>
      </c>
      <c r="E135">
        <v>703259599</v>
      </c>
      <c r="F135" s="1">
        <v>43926</v>
      </c>
      <c r="G135">
        <v>8998</v>
      </c>
      <c r="H135">
        <v>154.06</v>
      </c>
      <c r="I135">
        <v>90.93</v>
      </c>
      <c r="J135">
        <v>1386231.8800000001</v>
      </c>
      <c r="K135">
        <v>818188.14</v>
      </c>
    </row>
    <row r="136" spans="1:11" x14ac:dyDescent="0.35">
      <c r="A136" t="s">
        <v>149</v>
      </c>
      <c r="B136" t="s">
        <v>988</v>
      </c>
      <c r="C136" t="s">
        <v>14</v>
      </c>
      <c r="D136" s="1">
        <v>44637</v>
      </c>
      <c r="E136">
        <v>228987109</v>
      </c>
      <c r="F136" s="1">
        <v>44665</v>
      </c>
      <c r="G136">
        <v>1229</v>
      </c>
      <c r="H136">
        <v>109.28</v>
      </c>
      <c r="I136">
        <v>35.840000000000003</v>
      </c>
      <c r="J136">
        <v>134305.12</v>
      </c>
      <c r="K136">
        <v>44047.360000000001</v>
      </c>
    </row>
    <row r="137" spans="1:11" x14ac:dyDescent="0.35">
      <c r="A137" t="s">
        <v>150</v>
      </c>
      <c r="B137" t="s">
        <v>972</v>
      </c>
      <c r="C137" t="s">
        <v>12</v>
      </c>
      <c r="D137" s="1">
        <v>44430</v>
      </c>
      <c r="E137">
        <v>126011312</v>
      </c>
      <c r="F137" s="1">
        <v>44457</v>
      </c>
      <c r="G137">
        <v>8402</v>
      </c>
      <c r="H137">
        <v>205.7</v>
      </c>
      <c r="I137">
        <v>117.11</v>
      </c>
      <c r="J137">
        <v>1728291.4</v>
      </c>
      <c r="K137">
        <v>983958.22</v>
      </c>
    </row>
    <row r="138" spans="1:11" x14ac:dyDescent="0.35">
      <c r="A138" t="s">
        <v>151</v>
      </c>
      <c r="B138" t="s">
        <v>978</v>
      </c>
      <c r="C138" t="s">
        <v>12</v>
      </c>
      <c r="D138" s="1">
        <v>44010</v>
      </c>
      <c r="E138">
        <v>813131034</v>
      </c>
      <c r="F138" s="1">
        <v>44013</v>
      </c>
      <c r="G138">
        <v>2397</v>
      </c>
      <c r="H138">
        <v>47.45</v>
      </c>
      <c r="I138">
        <v>31.79</v>
      </c>
      <c r="J138">
        <v>113737.65000000001</v>
      </c>
      <c r="K138">
        <v>76200.63</v>
      </c>
    </row>
    <row r="139" spans="1:11" x14ac:dyDescent="0.35">
      <c r="A139" t="s">
        <v>152</v>
      </c>
      <c r="B139" t="s">
        <v>982</v>
      </c>
      <c r="C139" t="s">
        <v>12</v>
      </c>
      <c r="D139" s="1">
        <v>44232</v>
      </c>
      <c r="E139">
        <v>529457604</v>
      </c>
      <c r="F139" s="1">
        <v>44260</v>
      </c>
      <c r="G139">
        <v>7126</v>
      </c>
      <c r="H139">
        <v>81.73</v>
      </c>
      <c r="I139">
        <v>56.67</v>
      </c>
      <c r="J139">
        <v>582407.98</v>
      </c>
      <c r="K139">
        <v>403830.42</v>
      </c>
    </row>
    <row r="140" spans="1:11" x14ac:dyDescent="0.35">
      <c r="A140" t="s">
        <v>153</v>
      </c>
      <c r="B140" t="s">
        <v>970</v>
      </c>
      <c r="C140" t="s">
        <v>19</v>
      </c>
      <c r="D140" s="1">
        <v>44532</v>
      </c>
      <c r="E140">
        <v>284414851</v>
      </c>
      <c r="F140" s="1">
        <v>44537</v>
      </c>
      <c r="G140">
        <v>3530</v>
      </c>
      <c r="H140">
        <v>421.89</v>
      </c>
      <c r="I140">
        <v>364.69</v>
      </c>
      <c r="J140">
        <v>1489271.7</v>
      </c>
      <c r="K140">
        <v>1287355.7</v>
      </c>
    </row>
    <row r="141" spans="1:11" x14ac:dyDescent="0.35">
      <c r="A141" t="s">
        <v>154</v>
      </c>
      <c r="B141" t="s">
        <v>978</v>
      </c>
      <c r="C141" t="s">
        <v>12</v>
      </c>
      <c r="D141" s="1">
        <v>44491</v>
      </c>
      <c r="E141">
        <v>707739102</v>
      </c>
      <c r="F141" s="1">
        <v>44497</v>
      </c>
      <c r="G141">
        <v>4583</v>
      </c>
      <c r="H141">
        <v>47.45</v>
      </c>
      <c r="I141">
        <v>31.79</v>
      </c>
      <c r="J141">
        <v>217463.35</v>
      </c>
      <c r="K141">
        <v>145693.57</v>
      </c>
    </row>
    <row r="142" spans="1:11" x14ac:dyDescent="0.35">
      <c r="A142" t="s">
        <v>155</v>
      </c>
      <c r="B142" t="s">
        <v>980</v>
      </c>
      <c r="C142" t="s">
        <v>17</v>
      </c>
      <c r="D142" s="1">
        <v>44362</v>
      </c>
      <c r="E142">
        <v>699479186</v>
      </c>
      <c r="F142" s="1">
        <v>44402</v>
      </c>
      <c r="G142">
        <v>290</v>
      </c>
      <c r="H142">
        <v>437.2</v>
      </c>
      <c r="I142">
        <v>263.33</v>
      </c>
      <c r="J142">
        <v>126788</v>
      </c>
      <c r="K142">
        <v>76365.7</v>
      </c>
    </row>
    <row r="143" spans="1:11" x14ac:dyDescent="0.35">
      <c r="A143" t="s">
        <v>156</v>
      </c>
      <c r="B143" t="s">
        <v>972</v>
      </c>
      <c r="C143" t="s">
        <v>12</v>
      </c>
      <c r="D143" s="1">
        <v>44543</v>
      </c>
      <c r="E143">
        <v>579996430</v>
      </c>
      <c r="F143" s="1">
        <v>44570</v>
      </c>
      <c r="G143">
        <v>2687</v>
      </c>
      <c r="H143">
        <v>205.7</v>
      </c>
      <c r="I143">
        <v>117.11</v>
      </c>
      <c r="J143">
        <v>552715.9</v>
      </c>
      <c r="K143">
        <v>314674.57</v>
      </c>
    </row>
    <row r="144" spans="1:11" x14ac:dyDescent="0.35">
      <c r="A144" t="s">
        <v>157</v>
      </c>
      <c r="B144" t="s">
        <v>972</v>
      </c>
      <c r="C144" t="s">
        <v>17</v>
      </c>
      <c r="D144" s="1">
        <v>44011</v>
      </c>
      <c r="E144">
        <v>739964663</v>
      </c>
      <c r="F144" s="1">
        <v>44039</v>
      </c>
      <c r="G144">
        <v>842</v>
      </c>
      <c r="H144">
        <v>205.7</v>
      </c>
      <c r="I144">
        <v>117.11</v>
      </c>
      <c r="J144">
        <v>173199.4</v>
      </c>
      <c r="K144">
        <v>98606.62</v>
      </c>
    </row>
    <row r="145" spans="1:11" x14ac:dyDescent="0.35">
      <c r="A145" t="s">
        <v>158</v>
      </c>
      <c r="B145" t="s">
        <v>988</v>
      </c>
      <c r="C145" t="s">
        <v>17</v>
      </c>
      <c r="D145" s="1">
        <v>43982</v>
      </c>
      <c r="E145">
        <v>290370213</v>
      </c>
      <c r="F145" s="1">
        <v>43997</v>
      </c>
      <c r="G145">
        <v>5854</v>
      </c>
      <c r="H145">
        <v>109.28</v>
      </c>
      <c r="I145">
        <v>35.840000000000003</v>
      </c>
      <c r="J145">
        <v>639725.12</v>
      </c>
      <c r="K145">
        <v>209807.36000000002</v>
      </c>
    </row>
    <row r="146" spans="1:11" x14ac:dyDescent="0.35">
      <c r="A146" t="s">
        <v>159</v>
      </c>
      <c r="B146" t="s">
        <v>974</v>
      </c>
      <c r="C146" t="s">
        <v>17</v>
      </c>
      <c r="D146" s="1">
        <v>44249</v>
      </c>
      <c r="E146">
        <v>212511909</v>
      </c>
      <c r="F146" s="1">
        <v>44249</v>
      </c>
      <c r="G146">
        <v>5851</v>
      </c>
      <c r="H146">
        <v>9.33</v>
      </c>
      <c r="I146">
        <v>6.92</v>
      </c>
      <c r="J146">
        <v>54589.83</v>
      </c>
      <c r="K146">
        <v>40488.92</v>
      </c>
    </row>
    <row r="147" spans="1:11" x14ac:dyDescent="0.35">
      <c r="A147" t="s">
        <v>160</v>
      </c>
      <c r="B147" t="s">
        <v>974</v>
      </c>
      <c r="C147" t="s">
        <v>12</v>
      </c>
      <c r="D147" s="1">
        <v>44755</v>
      </c>
      <c r="E147">
        <v>208001077</v>
      </c>
      <c r="F147" s="1">
        <v>44764</v>
      </c>
      <c r="G147">
        <v>996</v>
      </c>
      <c r="H147">
        <v>9.33</v>
      </c>
      <c r="I147">
        <v>6.92</v>
      </c>
      <c r="J147">
        <v>9292.68</v>
      </c>
      <c r="K147">
        <v>6892.32</v>
      </c>
    </row>
    <row r="148" spans="1:11" x14ac:dyDescent="0.35">
      <c r="A148" t="s">
        <v>161</v>
      </c>
      <c r="B148" t="s">
        <v>982</v>
      </c>
      <c r="C148" t="s">
        <v>14</v>
      </c>
      <c r="D148" s="1">
        <v>44021</v>
      </c>
      <c r="E148">
        <v>948761546</v>
      </c>
      <c r="F148" s="1">
        <v>44025</v>
      </c>
      <c r="G148">
        <v>8480</v>
      </c>
      <c r="H148">
        <v>81.73</v>
      </c>
      <c r="I148">
        <v>56.67</v>
      </c>
      <c r="J148">
        <v>693070.4</v>
      </c>
      <c r="K148">
        <v>480561.60000000003</v>
      </c>
    </row>
    <row r="149" spans="1:11" x14ac:dyDescent="0.35">
      <c r="A149" t="s">
        <v>162</v>
      </c>
      <c r="B149" t="s">
        <v>968</v>
      </c>
      <c r="C149" t="s">
        <v>12</v>
      </c>
      <c r="D149" s="1">
        <v>43848</v>
      </c>
      <c r="E149">
        <v>927029645</v>
      </c>
      <c r="F149" s="1">
        <v>43859</v>
      </c>
      <c r="G149">
        <v>7527</v>
      </c>
      <c r="H149">
        <v>152.58000000000001</v>
      </c>
      <c r="I149">
        <v>97.44</v>
      </c>
      <c r="J149">
        <v>1148469.6600000001</v>
      </c>
      <c r="K149">
        <v>733430.88</v>
      </c>
    </row>
    <row r="150" spans="1:11" x14ac:dyDescent="0.35">
      <c r="A150" t="s">
        <v>163</v>
      </c>
      <c r="B150" t="s">
        <v>982</v>
      </c>
      <c r="C150" t="s">
        <v>12</v>
      </c>
      <c r="D150" s="1">
        <v>44618</v>
      </c>
      <c r="E150">
        <v>505354201</v>
      </c>
      <c r="F150" s="1">
        <v>44663</v>
      </c>
      <c r="G150">
        <v>4393</v>
      </c>
      <c r="H150">
        <v>81.73</v>
      </c>
      <c r="I150">
        <v>56.67</v>
      </c>
      <c r="J150">
        <v>359039.89</v>
      </c>
      <c r="K150">
        <v>248951.31</v>
      </c>
    </row>
    <row r="151" spans="1:11" x14ac:dyDescent="0.35">
      <c r="A151" t="s">
        <v>164</v>
      </c>
      <c r="B151" t="s">
        <v>974</v>
      </c>
      <c r="C151" t="s">
        <v>12</v>
      </c>
      <c r="D151" s="1">
        <v>44772</v>
      </c>
      <c r="E151">
        <v>566596543</v>
      </c>
      <c r="F151" s="1">
        <v>44805</v>
      </c>
      <c r="G151">
        <v>7363</v>
      </c>
      <c r="H151">
        <v>9.33</v>
      </c>
      <c r="I151">
        <v>6.92</v>
      </c>
      <c r="J151">
        <v>68696.789999999994</v>
      </c>
      <c r="K151">
        <v>50951.96</v>
      </c>
    </row>
    <row r="152" spans="1:11" x14ac:dyDescent="0.35">
      <c r="A152" t="s">
        <v>165</v>
      </c>
      <c r="B152" t="s">
        <v>984</v>
      </c>
      <c r="C152" t="s">
        <v>12</v>
      </c>
      <c r="D152" s="1">
        <v>44463</v>
      </c>
      <c r="E152">
        <v>263930499</v>
      </c>
      <c r="F152" s="1">
        <v>44505</v>
      </c>
      <c r="G152">
        <v>1755</v>
      </c>
      <c r="H152">
        <v>651.21</v>
      </c>
      <c r="I152">
        <v>524.96</v>
      </c>
      <c r="J152">
        <v>1142873.55</v>
      </c>
      <c r="K152">
        <v>921304.8</v>
      </c>
    </row>
    <row r="153" spans="1:11" x14ac:dyDescent="0.35">
      <c r="A153" t="s">
        <v>166</v>
      </c>
      <c r="B153" t="s">
        <v>974</v>
      </c>
      <c r="C153" t="s">
        <v>12</v>
      </c>
      <c r="D153" s="1">
        <v>43992</v>
      </c>
      <c r="E153">
        <v>170842397</v>
      </c>
      <c r="F153" s="1">
        <v>43992</v>
      </c>
      <c r="G153">
        <v>4917</v>
      </c>
      <c r="H153">
        <v>9.33</v>
      </c>
      <c r="I153">
        <v>6.92</v>
      </c>
      <c r="J153">
        <v>45875.61</v>
      </c>
      <c r="K153">
        <v>34025.64</v>
      </c>
    </row>
    <row r="154" spans="1:11" x14ac:dyDescent="0.35">
      <c r="A154" t="s">
        <v>167</v>
      </c>
      <c r="B154" t="s">
        <v>974</v>
      </c>
      <c r="C154" t="s">
        <v>17</v>
      </c>
      <c r="D154" s="1">
        <v>44326</v>
      </c>
      <c r="E154">
        <v>931131064</v>
      </c>
      <c r="F154" s="1">
        <v>44354</v>
      </c>
      <c r="G154">
        <v>1229</v>
      </c>
      <c r="H154">
        <v>9.33</v>
      </c>
      <c r="I154">
        <v>6.92</v>
      </c>
      <c r="J154">
        <v>11466.57</v>
      </c>
      <c r="K154">
        <v>8504.68</v>
      </c>
    </row>
    <row r="155" spans="1:11" x14ac:dyDescent="0.35">
      <c r="A155" t="s">
        <v>168</v>
      </c>
      <c r="B155" t="s">
        <v>974</v>
      </c>
      <c r="C155" t="s">
        <v>19</v>
      </c>
      <c r="D155" s="1">
        <v>44496</v>
      </c>
      <c r="E155">
        <v>108907830</v>
      </c>
      <c r="F155" s="1">
        <v>44500</v>
      </c>
      <c r="G155">
        <v>7102</v>
      </c>
      <c r="H155">
        <v>9.33</v>
      </c>
      <c r="I155">
        <v>6.92</v>
      </c>
      <c r="J155">
        <v>66261.66</v>
      </c>
      <c r="K155">
        <v>49145.84</v>
      </c>
    </row>
    <row r="156" spans="1:11" x14ac:dyDescent="0.35">
      <c r="A156" t="s">
        <v>169</v>
      </c>
      <c r="B156" t="s">
        <v>990</v>
      </c>
      <c r="C156" t="s">
        <v>14</v>
      </c>
      <c r="D156" s="1">
        <v>44196</v>
      </c>
      <c r="E156">
        <v>738596522</v>
      </c>
      <c r="F156" s="1">
        <v>44245</v>
      </c>
      <c r="G156">
        <v>5979</v>
      </c>
      <c r="H156">
        <v>668.27</v>
      </c>
      <c r="I156">
        <v>502.54</v>
      </c>
      <c r="J156">
        <v>3995586.33</v>
      </c>
      <c r="K156">
        <v>3004686.66</v>
      </c>
    </row>
    <row r="157" spans="1:11" x14ac:dyDescent="0.35">
      <c r="A157" t="s">
        <v>170</v>
      </c>
      <c r="B157" t="s">
        <v>984</v>
      </c>
      <c r="C157" t="s">
        <v>17</v>
      </c>
      <c r="D157" s="1">
        <v>44315</v>
      </c>
      <c r="E157">
        <v>974933469</v>
      </c>
      <c r="F157" s="1">
        <v>44359</v>
      </c>
      <c r="G157">
        <v>3333</v>
      </c>
      <c r="H157">
        <v>651.21</v>
      </c>
      <c r="I157">
        <v>524.96</v>
      </c>
      <c r="J157">
        <v>2170482.9300000002</v>
      </c>
      <c r="K157">
        <v>1749691.6800000002</v>
      </c>
    </row>
    <row r="158" spans="1:11" x14ac:dyDescent="0.35">
      <c r="A158" t="s">
        <v>171</v>
      </c>
      <c r="B158" t="s">
        <v>984</v>
      </c>
      <c r="C158" t="s">
        <v>19</v>
      </c>
      <c r="D158" s="1">
        <v>44320</v>
      </c>
      <c r="E158">
        <v>842967498</v>
      </c>
      <c r="F158" s="1">
        <v>44330</v>
      </c>
      <c r="G158">
        <v>1670</v>
      </c>
      <c r="H158">
        <v>651.21</v>
      </c>
      <c r="I158">
        <v>524.96</v>
      </c>
      <c r="J158">
        <v>1087520.7</v>
      </c>
      <c r="K158">
        <v>876683.20000000007</v>
      </c>
    </row>
    <row r="159" spans="1:11" x14ac:dyDescent="0.35">
      <c r="A159" t="s">
        <v>172</v>
      </c>
      <c r="B159" t="s">
        <v>982</v>
      </c>
      <c r="C159" t="s">
        <v>12</v>
      </c>
      <c r="D159" s="1">
        <v>44872</v>
      </c>
      <c r="E159">
        <v>888059937</v>
      </c>
      <c r="F159" s="1">
        <v>44905</v>
      </c>
      <c r="G159">
        <v>5525</v>
      </c>
      <c r="H159">
        <v>81.73</v>
      </c>
      <c r="I159">
        <v>56.67</v>
      </c>
      <c r="J159">
        <v>451558.25</v>
      </c>
      <c r="K159">
        <v>313101.75</v>
      </c>
    </row>
    <row r="160" spans="1:11" x14ac:dyDescent="0.35">
      <c r="A160" t="s">
        <v>173</v>
      </c>
      <c r="B160" t="s">
        <v>990</v>
      </c>
      <c r="C160" t="s">
        <v>19</v>
      </c>
      <c r="D160" s="1">
        <v>44166</v>
      </c>
      <c r="E160">
        <v>825884616</v>
      </c>
      <c r="F160" s="1">
        <v>44199</v>
      </c>
      <c r="G160">
        <v>6466</v>
      </c>
      <c r="H160">
        <v>668.27</v>
      </c>
      <c r="I160">
        <v>502.54</v>
      </c>
      <c r="J160">
        <v>4321033.82</v>
      </c>
      <c r="K160">
        <v>3249423.64</v>
      </c>
    </row>
    <row r="161" spans="1:11" x14ac:dyDescent="0.35">
      <c r="A161" t="s">
        <v>174</v>
      </c>
      <c r="B161" t="s">
        <v>984</v>
      </c>
      <c r="C161" t="s">
        <v>14</v>
      </c>
      <c r="D161" s="1">
        <v>44720</v>
      </c>
      <c r="E161">
        <v>892427861</v>
      </c>
      <c r="F161" s="1">
        <v>44767</v>
      </c>
      <c r="G161">
        <v>8091</v>
      </c>
      <c r="H161">
        <v>651.21</v>
      </c>
      <c r="I161">
        <v>524.96</v>
      </c>
      <c r="J161">
        <v>5268940.1100000003</v>
      </c>
      <c r="K161">
        <v>4247451.3600000003</v>
      </c>
    </row>
    <row r="162" spans="1:11" x14ac:dyDescent="0.35">
      <c r="A162" t="s">
        <v>175</v>
      </c>
      <c r="B162" t="s">
        <v>984</v>
      </c>
      <c r="C162" t="s">
        <v>17</v>
      </c>
      <c r="D162" s="1">
        <v>44502</v>
      </c>
      <c r="E162">
        <v>493988502</v>
      </c>
      <c r="F162" s="1">
        <v>44551</v>
      </c>
      <c r="G162">
        <v>1030</v>
      </c>
      <c r="H162">
        <v>651.21</v>
      </c>
      <c r="I162">
        <v>524.96</v>
      </c>
      <c r="J162">
        <v>670746.30000000005</v>
      </c>
      <c r="K162">
        <v>540708.80000000005</v>
      </c>
    </row>
    <row r="163" spans="1:11" x14ac:dyDescent="0.35">
      <c r="A163" t="s">
        <v>176</v>
      </c>
      <c r="B163" t="s">
        <v>986</v>
      </c>
      <c r="C163" t="s">
        <v>17</v>
      </c>
      <c r="D163" s="1">
        <v>44759</v>
      </c>
      <c r="E163">
        <v>457177865</v>
      </c>
      <c r="F163" s="1">
        <v>44784</v>
      </c>
      <c r="G163">
        <v>7945</v>
      </c>
      <c r="H163">
        <v>154.06</v>
      </c>
      <c r="I163">
        <v>90.93</v>
      </c>
      <c r="J163">
        <v>1224006.7</v>
      </c>
      <c r="K163">
        <v>722438.85000000009</v>
      </c>
    </row>
    <row r="164" spans="1:11" x14ac:dyDescent="0.35">
      <c r="A164" t="s">
        <v>177</v>
      </c>
      <c r="B164" t="s">
        <v>970</v>
      </c>
      <c r="C164" t="s">
        <v>19</v>
      </c>
      <c r="D164" s="1">
        <v>44274</v>
      </c>
      <c r="E164">
        <v>778919780</v>
      </c>
      <c r="F164" s="1">
        <v>44275</v>
      </c>
      <c r="G164">
        <v>8527</v>
      </c>
      <c r="H164">
        <v>421.89</v>
      </c>
      <c r="I164">
        <v>364.69</v>
      </c>
      <c r="J164">
        <v>3597456.03</v>
      </c>
      <c r="K164">
        <v>3109711.63</v>
      </c>
    </row>
    <row r="165" spans="1:11" x14ac:dyDescent="0.35">
      <c r="A165" t="s">
        <v>178</v>
      </c>
      <c r="B165" t="s">
        <v>984</v>
      </c>
      <c r="C165" t="s">
        <v>14</v>
      </c>
      <c r="D165" s="1">
        <v>44065</v>
      </c>
      <c r="E165">
        <v>176450574</v>
      </c>
      <c r="F165" s="1">
        <v>44082</v>
      </c>
      <c r="G165">
        <v>4501</v>
      </c>
      <c r="H165">
        <v>651.21</v>
      </c>
      <c r="I165">
        <v>524.96</v>
      </c>
      <c r="J165">
        <v>2931096.21</v>
      </c>
      <c r="K165">
        <v>2362844.96</v>
      </c>
    </row>
    <row r="166" spans="1:11" x14ac:dyDescent="0.35">
      <c r="A166" t="s">
        <v>179</v>
      </c>
      <c r="B166" t="s">
        <v>970</v>
      </c>
      <c r="C166" t="s">
        <v>19</v>
      </c>
      <c r="D166" s="1">
        <v>44774</v>
      </c>
      <c r="E166">
        <v>137319076</v>
      </c>
      <c r="F166" s="1">
        <v>44824</v>
      </c>
      <c r="G166">
        <v>4621</v>
      </c>
      <c r="H166">
        <v>421.89</v>
      </c>
      <c r="I166">
        <v>364.69</v>
      </c>
      <c r="J166">
        <v>1949553.69</v>
      </c>
      <c r="K166">
        <v>1685232.49</v>
      </c>
    </row>
    <row r="167" spans="1:11" x14ac:dyDescent="0.35">
      <c r="A167" t="s">
        <v>180</v>
      </c>
      <c r="B167" t="s">
        <v>988</v>
      </c>
      <c r="C167" t="s">
        <v>17</v>
      </c>
      <c r="D167" s="1">
        <v>44060</v>
      </c>
      <c r="E167">
        <v>869386613</v>
      </c>
      <c r="F167" s="1">
        <v>44099</v>
      </c>
      <c r="G167">
        <v>9673</v>
      </c>
      <c r="H167">
        <v>109.28</v>
      </c>
      <c r="I167">
        <v>35.840000000000003</v>
      </c>
      <c r="J167">
        <v>1057065.44</v>
      </c>
      <c r="K167">
        <v>346680.32000000001</v>
      </c>
    </row>
    <row r="168" spans="1:11" x14ac:dyDescent="0.35">
      <c r="A168" t="s">
        <v>181</v>
      </c>
      <c r="B168" t="s">
        <v>970</v>
      </c>
      <c r="C168" t="s">
        <v>17</v>
      </c>
      <c r="D168" s="1">
        <v>44424</v>
      </c>
      <c r="E168">
        <v>850827014</v>
      </c>
      <c r="F168" s="1">
        <v>44437</v>
      </c>
      <c r="G168">
        <v>7476</v>
      </c>
      <c r="H168">
        <v>421.89</v>
      </c>
      <c r="I168">
        <v>364.69</v>
      </c>
      <c r="J168">
        <v>3154049.64</v>
      </c>
      <c r="K168">
        <v>2726422.44</v>
      </c>
    </row>
    <row r="169" spans="1:11" x14ac:dyDescent="0.35">
      <c r="A169" t="s">
        <v>182</v>
      </c>
      <c r="B169" t="s">
        <v>968</v>
      </c>
      <c r="C169" t="s">
        <v>14</v>
      </c>
      <c r="D169" s="1">
        <v>44340</v>
      </c>
      <c r="E169">
        <v>880126607</v>
      </c>
      <c r="F169" s="1">
        <v>44354</v>
      </c>
      <c r="G169">
        <v>7876</v>
      </c>
      <c r="H169">
        <v>152.58000000000001</v>
      </c>
      <c r="I169">
        <v>97.44</v>
      </c>
      <c r="J169">
        <v>1201720.08</v>
      </c>
      <c r="K169">
        <v>767437.44</v>
      </c>
    </row>
    <row r="170" spans="1:11" x14ac:dyDescent="0.35">
      <c r="A170" t="s">
        <v>183</v>
      </c>
      <c r="B170" t="s">
        <v>988</v>
      </c>
      <c r="C170" t="s">
        <v>19</v>
      </c>
      <c r="D170" s="1">
        <v>43994</v>
      </c>
      <c r="E170">
        <v>926084220</v>
      </c>
      <c r="F170" s="1">
        <v>44017</v>
      </c>
      <c r="G170">
        <v>7755</v>
      </c>
      <c r="H170">
        <v>109.28</v>
      </c>
      <c r="I170">
        <v>35.840000000000003</v>
      </c>
      <c r="J170">
        <v>847466.4</v>
      </c>
      <c r="K170">
        <v>277939.20000000001</v>
      </c>
    </row>
    <row r="171" spans="1:11" x14ac:dyDescent="0.35">
      <c r="A171" t="s">
        <v>33</v>
      </c>
      <c r="B171" t="s">
        <v>972</v>
      </c>
      <c r="C171" t="s">
        <v>14</v>
      </c>
      <c r="D171" s="1">
        <v>44763</v>
      </c>
      <c r="E171">
        <v>577811181</v>
      </c>
      <c r="F171" s="1">
        <v>44796</v>
      </c>
      <c r="G171">
        <v>6024</v>
      </c>
      <c r="H171">
        <v>205.7</v>
      </c>
      <c r="I171">
        <v>117.11</v>
      </c>
      <c r="J171">
        <v>1239136.8</v>
      </c>
      <c r="K171">
        <v>705470.64</v>
      </c>
    </row>
    <row r="172" spans="1:11" x14ac:dyDescent="0.35">
      <c r="A172" t="s">
        <v>184</v>
      </c>
      <c r="B172" t="s">
        <v>968</v>
      </c>
      <c r="C172" t="s">
        <v>14</v>
      </c>
      <c r="D172" s="1">
        <v>44517</v>
      </c>
      <c r="E172">
        <v>394731318</v>
      </c>
      <c r="F172" s="1">
        <v>44542</v>
      </c>
      <c r="G172">
        <v>8624</v>
      </c>
      <c r="H172">
        <v>152.58000000000001</v>
      </c>
      <c r="I172">
        <v>97.44</v>
      </c>
      <c r="J172">
        <v>1315849.9200000002</v>
      </c>
      <c r="K172">
        <v>840322.55999999994</v>
      </c>
    </row>
    <row r="173" spans="1:11" x14ac:dyDescent="0.35">
      <c r="A173" t="s">
        <v>185</v>
      </c>
      <c r="B173" t="s">
        <v>990</v>
      </c>
      <c r="C173" t="s">
        <v>12</v>
      </c>
      <c r="D173" s="1">
        <v>44403</v>
      </c>
      <c r="E173">
        <v>556580960</v>
      </c>
      <c r="F173" s="1">
        <v>44448</v>
      </c>
      <c r="G173">
        <v>3529</v>
      </c>
      <c r="H173">
        <v>668.27</v>
      </c>
      <c r="I173">
        <v>502.54</v>
      </c>
      <c r="J173">
        <v>2358324.83</v>
      </c>
      <c r="K173">
        <v>1773463.6600000001</v>
      </c>
    </row>
    <row r="174" spans="1:11" x14ac:dyDescent="0.35">
      <c r="A174" t="s">
        <v>186</v>
      </c>
      <c r="B174" t="s">
        <v>984</v>
      </c>
      <c r="C174" t="s">
        <v>12</v>
      </c>
      <c r="D174" s="1">
        <v>44152</v>
      </c>
      <c r="E174">
        <v>413408935</v>
      </c>
      <c r="F174" s="1">
        <v>44178</v>
      </c>
      <c r="G174">
        <v>5745</v>
      </c>
      <c r="H174">
        <v>651.21</v>
      </c>
      <c r="I174">
        <v>524.96</v>
      </c>
      <c r="J174">
        <v>3741201.45</v>
      </c>
      <c r="K174">
        <v>3015895.2</v>
      </c>
    </row>
    <row r="175" spans="1:11" x14ac:dyDescent="0.35">
      <c r="A175" t="s">
        <v>187</v>
      </c>
      <c r="B175" t="s">
        <v>982</v>
      </c>
      <c r="C175" t="s">
        <v>12</v>
      </c>
      <c r="D175" s="1">
        <v>44684</v>
      </c>
      <c r="E175">
        <v>735576570</v>
      </c>
      <c r="F175" s="1">
        <v>44698</v>
      </c>
      <c r="G175">
        <v>2308</v>
      </c>
      <c r="H175">
        <v>81.73</v>
      </c>
      <c r="I175">
        <v>56.67</v>
      </c>
      <c r="J175">
        <v>188632.84</v>
      </c>
      <c r="K175">
        <v>130794.36</v>
      </c>
    </row>
    <row r="176" spans="1:11" x14ac:dyDescent="0.35">
      <c r="A176" t="s">
        <v>188</v>
      </c>
      <c r="B176" t="s">
        <v>988</v>
      </c>
      <c r="C176" t="s">
        <v>19</v>
      </c>
      <c r="D176" s="1">
        <v>44455</v>
      </c>
      <c r="E176">
        <v>563757693</v>
      </c>
      <c r="F176" s="1">
        <v>44501</v>
      </c>
      <c r="G176">
        <v>7284</v>
      </c>
      <c r="H176">
        <v>109.28</v>
      </c>
      <c r="I176">
        <v>35.840000000000003</v>
      </c>
      <c r="J176">
        <v>795995.52</v>
      </c>
      <c r="K176">
        <v>261058.56000000003</v>
      </c>
    </row>
    <row r="177" spans="1:11" x14ac:dyDescent="0.35">
      <c r="A177" t="s">
        <v>189</v>
      </c>
      <c r="B177" t="s">
        <v>986</v>
      </c>
      <c r="C177" t="s">
        <v>17</v>
      </c>
      <c r="D177" s="1">
        <v>44157</v>
      </c>
      <c r="E177">
        <v>358938634</v>
      </c>
      <c r="F177" s="1">
        <v>44174</v>
      </c>
      <c r="G177">
        <v>6773</v>
      </c>
      <c r="H177">
        <v>154.06</v>
      </c>
      <c r="I177">
        <v>90.93</v>
      </c>
      <c r="J177">
        <v>1043448.38</v>
      </c>
      <c r="K177">
        <v>615868.89</v>
      </c>
    </row>
    <row r="178" spans="1:11" x14ac:dyDescent="0.35">
      <c r="A178" t="s">
        <v>190</v>
      </c>
      <c r="B178" t="s">
        <v>968</v>
      </c>
      <c r="C178" t="s">
        <v>12</v>
      </c>
      <c r="D178" s="1">
        <v>44107</v>
      </c>
      <c r="E178">
        <v>652418220</v>
      </c>
      <c r="F178" s="1">
        <v>44123</v>
      </c>
      <c r="G178">
        <v>3904</v>
      </c>
      <c r="H178">
        <v>152.58000000000001</v>
      </c>
      <c r="I178">
        <v>97.44</v>
      </c>
      <c r="J178">
        <v>595672.32000000007</v>
      </c>
      <c r="K178">
        <v>380405.76000000001</v>
      </c>
    </row>
    <row r="179" spans="1:11" x14ac:dyDescent="0.35">
      <c r="A179" t="s">
        <v>191</v>
      </c>
      <c r="B179" t="s">
        <v>984</v>
      </c>
      <c r="C179" t="s">
        <v>12</v>
      </c>
      <c r="D179" s="1">
        <v>44768</v>
      </c>
      <c r="E179">
        <v>695807778</v>
      </c>
      <c r="F179" s="1">
        <v>44810</v>
      </c>
      <c r="G179">
        <v>3839</v>
      </c>
      <c r="H179">
        <v>651.21</v>
      </c>
      <c r="I179">
        <v>524.96</v>
      </c>
      <c r="J179">
        <v>2499995.19</v>
      </c>
      <c r="K179">
        <v>2015321.4400000002</v>
      </c>
    </row>
    <row r="180" spans="1:11" x14ac:dyDescent="0.35">
      <c r="A180" t="s">
        <v>192</v>
      </c>
      <c r="B180" t="s">
        <v>984</v>
      </c>
      <c r="C180" t="s">
        <v>12</v>
      </c>
      <c r="D180" s="1">
        <v>44140</v>
      </c>
      <c r="E180">
        <v>711031138</v>
      </c>
      <c r="F180" s="1">
        <v>44172</v>
      </c>
      <c r="G180">
        <v>8769</v>
      </c>
      <c r="H180">
        <v>651.21</v>
      </c>
      <c r="I180">
        <v>524.96</v>
      </c>
      <c r="J180">
        <v>5710460.4900000002</v>
      </c>
      <c r="K180">
        <v>4603374.24</v>
      </c>
    </row>
    <row r="181" spans="1:11" x14ac:dyDescent="0.35">
      <c r="A181" t="s">
        <v>193</v>
      </c>
      <c r="B181" t="s">
        <v>978</v>
      </c>
      <c r="C181" t="s">
        <v>14</v>
      </c>
      <c r="D181" s="1">
        <v>44547</v>
      </c>
      <c r="E181">
        <v>540324628</v>
      </c>
      <c r="F181" s="1">
        <v>44586</v>
      </c>
      <c r="G181">
        <v>2919</v>
      </c>
      <c r="H181">
        <v>47.45</v>
      </c>
      <c r="I181">
        <v>31.79</v>
      </c>
      <c r="J181">
        <v>138506.55000000002</v>
      </c>
      <c r="K181">
        <v>92795.01</v>
      </c>
    </row>
    <row r="182" spans="1:11" x14ac:dyDescent="0.35">
      <c r="A182" t="s">
        <v>194</v>
      </c>
      <c r="B182" t="s">
        <v>972</v>
      </c>
      <c r="C182" t="s">
        <v>19</v>
      </c>
      <c r="D182" s="1">
        <v>44804</v>
      </c>
      <c r="E182">
        <v>996237075</v>
      </c>
      <c r="F182" s="1">
        <v>44804</v>
      </c>
      <c r="G182">
        <v>7544</v>
      </c>
      <c r="H182">
        <v>205.7</v>
      </c>
      <c r="I182">
        <v>117.11</v>
      </c>
      <c r="J182">
        <v>1551800.7999999998</v>
      </c>
      <c r="K182">
        <v>883477.84</v>
      </c>
    </row>
    <row r="183" spans="1:11" x14ac:dyDescent="0.35">
      <c r="A183" t="s">
        <v>195</v>
      </c>
      <c r="B183" t="s">
        <v>988</v>
      </c>
      <c r="C183" t="s">
        <v>19</v>
      </c>
      <c r="D183" s="1">
        <v>43873</v>
      </c>
      <c r="E183">
        <v>711629807</v>
      </c>
      <c r="F183" s="1">
        <v>43895</v>
      </c>
      <c r="G183">
        <v>5929</v>
      </c>
      <c r="H183">
        <v>109.28</v>
      </c>
      <c r="I183">
        <v>35.840000000000003</v>
      </c>
      <c r="J183">
        <v>647921.12</v>
      </c>
      <c r="K183">
        <v>212495.36000000002</v>
      </c>
    </row>
    <row r="184" spans="1:11" x14ac:dyDescent="0.35">
      <c r="A184" t="s">
        <v>196</v>
      </c>
      <c r="B184" t="s">
        <v>972</v>
      </c>
      <c r="C184" t="s">
        <v>14</v>
      </c>
      <c r="D184" s="1">
        <v>44519</v>
      </c>
      <c r="E184">
        <v>189676654</v>
      </c>
      <c r="F184" s="1">
        <v>44562</v>
      </c>
      <c r="G184">
        <v>8392</v>
      </c>
      <c r="H184">
        <v>205.7</v>
      </c>
      <c r="I184">
        <v>117.11</v>
      </c>
      <c r="J184">
        <v>1726234.4</v>
      </c>
      <c r="K184">
        <v>982787.12</v>
      </c>
    </row>
    <row r="185" spans="1:11" x14ac:dyDescent="0.35">
      <c r="A185" t="s">
        <v>197</v>
      </c>
      <c r="B185" t="s">
        <v>990</v>
      </c>
      <c r="C185" t="s">
        <v>17</v>
      </c>
      <c r="D185" s="1">
        <v>44431</v>
      </c>
      <c r="E185">
        <v>453863942</v>
      </c>
      <c r="F185" s="1">
        <v>44448</v>
      </c>
      <c r="G185">
        <v>7281</v>
      </c>
      <c r="H185">
        <v>668.27</v>
      </c>
      <c r="I185">
        <v>502.54</v>
      </c>
      <c r="J185">
        <v>4865673.87</v>
      </c>
      <c r="K185">
        <v>3658993.74</v>
      </c>
    </row>
    <row r="186" spans="1:11" x14ac:dyDescent="0.35">
      <c r="A186" t="s">
        <v>198</v>
      </c>
      <c r="B186" t="s">
        <v>984</v>
      </c>
      <c r="C186" t="s">
        <v>17</v>
      </c>
      <c r="D186" s="1">
        <v>44057</v>
      </c>
      <c r="E186">
        <v>797990500</v>
      </c>
      <c r="F186" s="1">
        <v>44096</v>
      </c>
      <c r="G186">
        <v>1977</v>
      </c>
      <c r="H186">
        <v>651.21</v>
      </c>
      <c r="I186">
        <v>524.96</v>
      </c>
      <c r="J186">
        <v>1287442.1700000002</v>
      </c>
      <c r="K186">
        <v>1037845.92</v>
      </c>
    </row>
    <row r="187" spans="1:11" x14ac:dyDescent="0.35">
      <c r="A187" t="s">
        <v>199</v>
      </c>
      <c r="B187" t="s">
        <v>978</v>
      </c>
      <c r="C187" t="s">
        <v>14</v>
      </c>
      <c r="D187" s="1">
        <v>43990</v>
      </c>
      <c r="E187">
        <v>136167657</v>
      </c>
      <c r="F187" s="1">
        <v>44003</v>
      </c>
      <c r="G187">
        <v>3890</v>
      </c>
      <c r="H187">
        <v>47.45</v>
      </c>
      <c r="I187">
        <v>31.79</v>
      </c>
      <c r="J187">
        <v>184580.5</v>
      </c>
      <c r="K187">
        <v>123663.09999999999</v>
      </c>
    </row>
    <row r="188" spans="1:11" x14ac:dyDescent="0.35">
      <c r="A188" t="s">
        <v>200</v>
      </c>
      <c r="B188" t="s">
        <v>978</v>
      </c>
      <c r="C188" t="s">
        <v>12</v>
      </c>
      <c r="D188" s="1">
        <v>44450</v>
      </c>
      <c r="E188">
        <v>152819240</v>
      </c>
      <c r="F188" s="1">
        <v>44485</v>
      </c>
      <c r="G188">
        <v>1464</v>
      </c>
      <c r="H188">
        <v>47.45</v>
      </c>
      <c r="I188">
        <v>31.79</v>
      </c>
      <c r="J188">
        <v>69466.8</v>
      </c>
      <c r="K188">
        <v>46540.56</v>
      </c>
    </row>
    <row r="189" spans="1:11" x14ac:dyDescent="0.35">
      <c r="A189" t="s">
        <v>201</v>
      </c>
      <c r="B189" t="s">
        <v>968</v>
      </c>
      <c r="C189" t="s">
        <v>12</v>
      </c>
      <c r="D189" s="1">
        <v>44757</v>
      </c>
      <c r="E189">
        <v>352681577</v>
      </c>
      <c r="F189" s="1">
        <v>44767</v>
      </c>
      <c r="G189">
        <v>5171</v>
      </c>
      <c r="H189">
        <v>152.58000000000001</v>
      </c>
      <c r="I189">
        <v>97.44</v>
      </c>
      <c r="J189">
        <v>788991.18</v>
      </c>
      <c r="K189">
        <v>503862.24</v>
      </c>
    </row>
    <row r="190" spans="1:11" x14ac:dyDescent="0.35">
      <c r="A190" t="s">
        <v>202</v>
      </c>
      <c r="B190" t="s">
        <v>972</v>
      </c>
      <c r="C190" t="s">
        <v>14</v>
      </c>
      <c r="D190" s="1">
        <v>43857</v>
      </c>
      <c r="E190">
        <v>310803496</v>
      </c>
      <c r="F190" s="1">
        <v>43894</v>
      </c>
      <c r="G190">
        <v>2516</v>
      </c>
      <c r="H190">
        <v>205.7</v>
      </c>
      <c r="I190">
        <v>117.11</v>
      </c>
      <c r="J190">
        <v>517541.19999999995</v>
      </c>
      <c r="K190">
        <v>294648.76</v>
      </c>
    </row>
    <row r="191" spans="1:11" x14ac:dyDescent="0.35">
      <c r="A191" t="s">
        <v>203</v>
      </c>
      <c r="B191" t="s">
        <v>980</v>
      </c>
      <c r="C191" t="s">
        <v>17</v>
      </c>
      <c r="D191" s="1">
        <v>43977</v>
      </c>
      <c r="E191">
        <v>122546327</v>
      </c>
      <c r="F191" s="1">
        <v>44000</v>
      </c>
      <c r="G191">
        <v>3036</v>
      </c>
      <c r="H191">
        <v>437.2</v>
      </c>
      <c r="I191">
        <v>263.33</v>
      </c>
      <c r="J191">
        <v>1327339.2</v>
      </c>
      <c r="K191">
        <v>799469.88</v>
      </c>
    </row>
    <row r="192" spans="1:11" x14ac:dyDescent="0.35">
      <c r="A192" t="s">
        <v>204</v>
      </c>
      <c r="B192" t="s">
        <v>974</v>
      </c>
      <c r="C192" t="s">
        <v>14</v>
      </c>
      <c r="D192" s="1">
        <v>43834</v>
      </c>
      <c r="E192">
        <v>853583896</v>
      </c>
      <c r="F192" s="1">
        <v>43850</v>
      </c>
      <c r="G192">
        <v>3298</v>
      </c>
      <c r="H192">
        <v>9.33</v>
      </c>
      <c r="I192">
        <v>6.92</v>
      </c>
      <c r="J192">
        <v>30770.34</v>
      </c>
      <c r="K192">
        <v>22822.16</v>
      </c>
    </row>
    <row r="193" spans="1:11" x14ac:dyDescent="0.35">
      <c r="A193" t="s">
        <v>205</v>
      </c>
      <c r="B193" t="s">
        <v>982</v>
      </c>
      <c r="C193" t="s">
        <v>14</v>
      </c>
      <c r="D193" s="1">
        <v>44381</v>
      </c>
      <c r="E193">
        <v>489902532</v>
      </c>
      <c r="F193" s="1">
        <v>44408</v>
      </c>
      <c r="G193">
        <v>1901</v>
      </c>
      <c r="H193">
        <v>81.73</v>
      </c>
      <c r="I193">
        <v>56.67</v>
      </c>
      <c r="J193">
        <v>155368.73000000001</v>
      </c>
      <c r="K193">
        <v>107729.67</v>
      </c>
    </row>
    <row r="194" spans="1:11" x14ac:dyDescent="0.35">
      <c r="A194" t="s">
        <v>206</v>
      </c>
      <c r="B194" t="s">
        <v>986</v>
      </c>
      <c r="C194" t="s">
        <v>19</v>
      </c>
      <c r="D194" s="1">
        <v>44106</v>
      </c>
      <c r="E194">
        <v>687801063</v>
      </c>
      <c r="F194" s="1">
        <v>44110</v>
      </c>
      <c r="G194">
        <v>4474</v>
      </c>
      <c r="H194">
        <v>154.06</v>
      </c>
      <c r="I194">
        <v>90.93</v>
      </c>
      <c r="J194">
        <v>689264.44000000006</v>
      </c>
      <c r="K194">
        <v>406820.82</v>
      </c>
    </row>
    <row r="195" spans="1:11" x14ac:dyDescent="0.35">
      <c r="A195" t="s">
        <v>207</v>
      </c>
      <c r="B195" t="s">
        <v>970</v>
      </c>
      <c r="C195" t="s">
        <v>19</v>
      </c>
      <c r="D195" s="1">
        <v>44780</v>
      </c>
      <c r="E195">
        <v>923890817</v>
      </c>
      <c r="F195" s="1">
        <v>44790</v>
      </c>
      <c r="G195">
        <v>8678</v>
      </c>
      <c r="H195">
        <v>421.89</v>
      </c>
      <c r="I195">
        <v>364.69</v>
      </c>
      <c r="J195">
        <v>3661161.42</v>
      </c>
      <c r="K195">
        <v>3164779.82</v>
      </c>
    </row>
    <row r="196" spans="1:11" x14ac:dyDescent="0.35">
      <c r="A196" t="s">
        <v>208</v>
      </c>
      <c r="B196" t="s">
        <v>974</v>
      </c>
      <c r="C196" t="s">
        <v>14</v>
      </c>
      <c r="D196" s="1">
        <v>44662</v>
      </c>
      <c r="E196">
        <v>745095622</v>
      </c>
      <c r="F196" s="1">
        <v>44708</v>
      </c>
      <c r="G196">
        <v>9207</v>
      </c>
      <c r="H196">
        <v>9.33</v>
      </c>
      <c r="I196">
        <v>6.92</v>
      </c>
      <c r="J196">
        <v>85901.31</v>
      </c>
      <c r="K196">
        <v>63712.44</v>
      </c>
    </row>
    <row r="197" spans="1:11" x14ac:dyDescent="0.35">
      <c r="A197" t="s">
        <v>209</v>
      </c>
      <c r="B197" t="s">
        <v>980</v>
      </c>
      <c r="C197" t="s">
        <v>17</v>
      </c>
      <c r="D197" s="1">
        <v>44250</v>
      </c>
      <c r="E197">
        <v>218651807</v>
      </c>
      <c r="F197" s="1">
        <v>44274</v>
      </c>
      <c r="G197">
        <v>2783</v>
      </c>
      <c r="H197">
        <v>437.2</v>
      </c>
      <c r="I197">
        <v>263.33</v>
      </c>
      <c r="J197">
        <v>1216727.5999999999</v>
      </c>
      <c r="K197">
        <v>732847.3899999999</v>
      </c>
    </row>
    <row r="198" spans="1:11" x14ac:dyDescent="0.35">
      <c r="A198" t="s">
        <v>210</v>
      </c>
      <c r="B198" t="s">
        <v>986</v>
      </c>
      <c r="C198" t="s">
        <v>19</v>
      </c>
      <c r="D198" s="1">
        <v>44707</v>
      </c>
      <c r="E198">
        <v>382108199</v>
      </c>
      <c r="F198" s="1">
        <v>44755</v>
      </c>
      <c r="G198">
        <v>3162</v>
      </c>
      <c r="H198">
        <v>154.06</v>
      </c>
      <c r="I198">
        <v>90.93</v>
      </c>
      <c r="J198">
        <v>487137.72000000003</v>
      </c>
      <c r="K198">
        <v>287520.66000000003</v>
      </c>
    </row>
    <row r="199" spans="1:11" x14ac:dyDescent="0.35">
      <c r="A199" t="s">
        <v>211</v>
      </c>
      <c r="B199" t="s">
        <v>984</v>
      </c>
      <c r="C199" t="s">
        <v>17</v>
      </c>
      <c r="D199" s="1">
        <v>44213</v>
      </c>
      <c r="E199">
        <v>993326127</v>
      </c>
      <c r="F199" s="1">
        <v>44245</v>
      </c>
      <c r="G199">
        <v>6130</v>
      </c>
      <c r="H199">
        <v>651.21</v>
      </c>
      <c r="I199">
        <v>524.96</v>
      </c>
      <c r="J199">
        <v>3991917.3000000003</v>
      </c>
      <c r="K199">
        <v>3218004.8000000003</v>
      </c>
    </row>
    <row r="200" spans="1:11" x14ac:dyDescent="0.35">
      <c r="A200" t="s">
        <v>212</v>
      </c>
      <c r="B200" t="s">
        <v>972</v>
      </c>
      <c r="C200" t="s">
        <v>17</v>
      </c>
      <c r="D200" s="1">
        <v>44749</v>
      </c>
      <c r="E200">
        <v>980479419</v>
      </c>
      <c r="F200" s="1">
        <v>44779</v>
      </c>
      <c r="G200">
        <v>4503</v>
      </c>
      <c r="H200">
        <v>205.7</v>
      </c>
      <c r="I200">
        <v>117.11</v>
      </c>
      <c r="J200">
        <v>926267.1</v>
      </c>
      <c r="K200">
        <v>527346.32999999996</v>
      </c>
    </row>
    <row r="201" spans="1:11" x14ac:dyDescent="0.35">
      <c r="A201" t="s">
        <v>213</v>
      </c>
      <c r="B201" t="s">
        <v>968</v>
      </c>
      <c r="C201" t="s">
        <v>12</v>
      </c>
      <c r="D201" s="1">
        <v>44266</v>
      </c>
      <c r="E201">
        <v>692054402</v>
      </c>
      <c r="F201" s="1">
        <v>44275</v>
      </c>
      <c r="G201">
        <v>3131</v>
      </c>
      <c r="H201">
        <v>152.58000000000001</v>
      </c>
      <c r="I201">
        <v>97.44</v>
      </c>
      <c r="J201">
        <v>477727.98000000004</v>
      </c>
      <c r="K201">
        <v>305084.64</v>
      </c>
    </row>
    <row r="202" spans="1:11" x14ac:dyDescent="0.35">
      <c r="A202" t="s">
        <v>214</v>
      </c>
      <c r="B202" t="s">
        <v>986</v>
      </c>
      <c r="C202" t="s">
        <v>12</v>
      </c>
      <c r="D202" s="1">
        <v>44516</v>
      </c>
      <c r="E202">
        <v>546849906</v>
      </c>
      <c r="F202" s="1">
        <v>44541</v>
      </c>
      <c r="G202">
        <v>3894</v>
      </c>
      <c r="H202">
        <v>154.06</v>
      </c>
      <c r="I202">
        <v>90.93</v>
      </c>
      <c r="J202">
        <v>599909.64</v>
      </c>
      <c r="K202">
        <v>354081.42000000004</v>
      </c>
    </row>
    <row r="203" spans="1:11" x14ac:dyDescent="0.35">
      <c r="A203" t="s">
        <v>215</v>
      </c>
      <c r="B203" t="s">
        <v>978</v>
      </c>
      <c r="C203" t="s">
        <v>17</v>
      </c>
      <c r="D203" s="1">
        <v>44266</v>
      </c>
      <c r="E203">
        <v>583977258</v>
      </c>
      <c r="F203" s="1">
        <v>44311</v>
      </c>
      <c r="G203">
        <v>703</v>
      </c>
      <c r="H203">
        <v>47.45</v>
      </c>
      <c r="I203">
        <v>31.79</v>
      </c>
      <c r="J203">
        <v>33357.35</v>
      </c>
      <c r="K203">
        <v>22348.37</v>
      </c>
    </row>
    <row r="204" spans="1:11" x14ac:dyDescent="0.35">
      <c r="A204" t="s">
        <v>216</v>
      </c>
      <c r="B204" t="s">
        <v>976</v>
      </c>
      <c r="C204" t="s">
        <v>12</v>
      </c>
      <c r="D204" s="1">
        <v>43995</v>
      </c>
      <c r="E204">
        <v>912860286</v>
      </c>
      <c r="F204" s="1">
        <v>44022</v>
      </c>
      <c r="G204">
        <v>4499</v>
      </c>
      <c r="H204">
        <v>255.28</v>
      </c>
      <c r="I204">
        <v>159.41999999999999</v>
      </c>
      <c r="J204">
        <v>1148504.72</v>
      </c>
      <c r="K204">
        <v>717230.58</v>
      </c>
    </row>
    <row r="205" spans="1:11" x14ac:dyDescent="0.35">
      <c r="A205" t="s">
        <v>217</v>
      </c>
      <c r="B205" t="s">
        <v>988</v>
      </c>
      <c r="C205" t="s">
        <v>19</v>
      </c>
      <c r="D205" s="1">
        <v>44331</v>
      </c>
      <c r="E205">
        <v>363235318</v>
      </c>
      <c r="F205" s="1">
        <v>44372</v>
      </c>
      <c r="G205">
        <v>8257</v>
      </c>
      <c r="H205">
        <v>109.28</v>
      </c>
      <c r="I205">
        <v>35.840000000000003</v>
      </c>
      <c r="J205">
        <v>902324.96</v>
      </c>
      <c r="K205">
        <v>295930.88</v>
      </c>
    </row>
    <row r="206" spans="1:11" x14ac:dyDescent="0.35">
      <c r="A206" t="s">
        <v>218</v>
      </c>
      <c r="B206" t="s">
        <v>970</v>
      </c>
      <c r="C206" t="s">
        <v>14</v>
      </c>
      <c r="D206" s="1">
        <v>44480</v>
      </c>
      <c r="E206">
        <v>535151183</v>
      </c>
      <c r="F206" s="1">
        <v>44524</v>
      </c>
      <c r="G206">
        <v>1982</v>
      </c>
      <c r="H206">
        <v>421.89</v>
      </c>
      <c r="I206">
        <v>364.69</v>
      </c>
      <c r="J206">
        <v>836185.98</v>
      </c>
      <c r="K206">
        <v>722815.58</v>
      </c>
    </row>
    <row r="207" spans="1:11" x14ac:dyDescent="0.35">
      <c r="A207" t="s">
        <v>219</v>
      </c>
      <c r="B207" t="s">
        <v>974</v>
      </c>
      <c r="C207" t="s">
        <v>14</v>
      </c>
      <c r="D207" s="1">
        <v>44841</v>
      </c>
      <c r="E207">
        <v>848969209</v>
      </c>
      <c r="F207" s="1">
        <v>44849</v>
      </c>
      <c r="G207">
        <v>7710</v>
      </c>
      <c r="H207">
        <v>9.33</v>
      </c>
      <c r="I207">
        <v>6.92</v>
      </c>
      <c r="J207">
        <v>71934.3</v>
      </c>
      <c r="K207">
        <v>53353.2</v>
      </c>
    </row>
    <row r="208" spans="1:11" x14ac:dyDescent="0.35">
      <c r="A208" t="s">
        <v>220</v>
      </c>
      <c r="B208" t="s">
        <v>974</v>
      </c>
      <c r="C208" t="s">
        <v>12</v>
      </c>
      <c r="D208" s="1">
        <v>44392</v>
      </c>
      <c r="E208">
        <v>795363223</v>
      </c>
      <c r="F208" s="1">
        <v>44438</v>
      </c>
      <c r="G208">
        <v>4507</v>
      </c>
      <c r="H208">
        <v>9.33</v>
      </c>
      <c r="I208">
        <v>6.92</v>
      </c>
      <c r="J208">
        <v>42050.31</v>
      </c>
      <c r="K208">
        <v>31188.44</v>
      </c>
    </row>
    <row r="209" spans="1:11" x14ac:dyDescent="0.35">
      <c r="A209" t="s">
        <v>221</v>
      </c>
      <c r="B209" t="s">
        <v>980</v>
      </c>
      <c r="C209" t="s">
        <v>12</v>
      </c>
      <c r="D209" s="1">
        <v>44348</v>
      </c>
      <c r="E209">
        <v>385319554</v>
      </c>
      <c r="F209" s="1">
        <v>44374</v>
      </c>
      <c r="G209">
        <v>3474</v>
      </c>
      <c r="H209">
        <v>437.2</v>
      </c>
      <c r="I209">
        <v>263.33</v>
      </c>
      <c r="J209">
        <v>1518832.8</v>
      </c>
      <c r="K209">
        <v>914808.41999999993</v>
      </c>
    </row>
    <row r="210" spans="1:11" x14ac:dyDescent="0.35">
      <c r="A210" t="s">
        <v>222</v>
      </c>
      <c r="B210" t="s">
        <v>972</v>
      </c>
      <c r="C210" t="s">
        <v>14</v>
      </c>
      <c r="D210" s="1">
        <v>44502</v>
      </c>
      <c r="E210">
        <v>600137031</v>
      </c>
      <c r="F210" s="1">
        <v>44515</v>
      </c>
      <c r="G210">
        <v>2739</v>
      </c>
      <c r="H210">
        <v>205.7</v>
      </c>
      <c r="I210">
        <v>117.11</v>
      </c>
      <c r="J210">
        <v>563412.29999999993</v>
      </c>
      <c r="K210">
        <v>320764.28999999998</v>
      </c>
    </row>
    <row r="211" spans="1:11" x14ac:dyDescent="0.35">
      <c r="A211" t="s">
        <v>223</v>
      </c>
      <c r="B211" t="s">
        <v>988</v>
      </c>
      <c r="C211" t="s">
        <v>14</v>
      </c>
      <c r="D211" s="1">
        <v>44797</v>
      </c>
      <c r="E211">
        <v>241426980</v>
      </c>
      <c r="F211" s="1">
        <v>44828</v>
      </c>
      <c r="G211">
        <v>2463</v>
      </c>
      <c r="H211">
        <v>109.28</v>
      </c>
      <c r="I211">
        <v>35.840000000000003</v>
      </c>
      <c r="J211">
        <v>269156.64</v>
      </c>
      <c r="K211">
        <v>88273.920000000013</v>
      </c>
    </row>
    <row r="212" spans="1:11" x14ac:dyDescent="0.35">
      <c r="A212" t="s">
        <v>224</v>
      </c>
      <c r="B212" t="s">
        <v>976</v>
      </c>
      <c r="C212" t="s">
        <v>17</v>
      </c>
      <c r="D212" s="1">
        <v>44797</v>
      </c>
      <c r="E212">
        <v>881113231</v>
      </c>
      <c r="F212" s="1">
        <v>44839</v>
      </c>
      <c r="G212">
        <v>9840</v>
      </c>
      <c r="H212">
        <v>255.28</v>
      </c>
      <c r="I212">
        <v>159.41999999999999</v>
      </c>
      <c r="J212">
        <v>2511955.2000000002</v>
      </c>
      <c r="K212">
        <v>1568692.7999999998</v>
      </c>
    </row>
    <row r="213" spans="1:11" x14ac:dyDescent="0.35">
      <c r="A213" t="s">
        <v>225</v>
      </c>
      <c r="B213" t="s">
        <v>974</v>
      </c>
      <c r="C213" t="s">
        <v>17</v>
      </c>
      <c r="D213" s="1">
        <v>44218</v>
      </c>
      <c r="E213">
        <v>111432111</v>
      </c>
      <c r="F213" s="1">
        <v>44241</v>
      </c>
      <c r="G213">
        <v>4093</v>
      </c>
      <c r="H213">
        <v>9.33</v>
      </c>
      <c r="I213">
        <v>6.92</v>
      </c>
      <c r="J213">
        <v>38187.69</v>
      </c>
      <c r="K213">
        <v>28323.56</v>
      </c>
    </row>
    <row r="214" spans="1:11" x14ac:dyDescent="0.35">
      <c r="A214" t="s">
        <v>226</v>
      </c>
      <c r="B214" t="s">
        <v>986</v>
      </c>
      <c r="C214" t="s">
        <v>12</v>
      </c>
      <c r="D214" s="1">
        <v>44483</v>
      </c>
      <c r="E214">
        <v>994932448</v>
      </c>
      <c r="F214" s="1">
        <v>44523</v>
      </c>
      <c r="G214">
        <v>1476</v>
      </c>
      <c r="H214">
        <v>154.06</v>
      </c>
      <c r="I214">
        <v>90.93</v>
      </c>
      <c r="J214">
        <v>227392.56</v>
      </c>
      <c r="K214">
        <v>134212.68000000002</v>
      </c>
    </row>
    <row r="215" spans="1:11" x14ac:dyDescent="0.35">
      <c r="A215" t="s">
        <v>227</v>
      </c>
      <c r="B215" t="s">
        <v>982</v>
      </c>
      <c r="C215" t="s">
        <v>12</v>
      </c>
      <c r="D215" s="1">
        <v>44035</v>
      </c>
      <c r="E215">
        <v>814475572</v>
      </c>
      <c r="F215" s="1">
        <v>44053</v>
      </c>
      <c r="G215">
        <v>276</v>
      </c>
      <c r="H215">
        <v>81.73</v>
      </c>
      <c r="I215">
        <v>56.67</v>
      </c>
      <c r="J215">
        <v>22557.48</v>
      </c>
      <c r="K215">
        <v>15640.92</v>
      </c>
    </row>
    <row r="216" spans="1:11" x14ac:dyDescent="0.35">
      <c r="A216" t="s">
        <v>228</v>
      </c>
      <c r="B216" t="s">
        <v>970</v>
      </c>
      <c r="C216" t="s">
        <v>14</v>
      </c>
      <c r="D216" s="1">
        <v>44069</v>
      </c>
      <c r="E216">
        <v>523235309</v>
      </c>
      <c r="F216" s="1">
        <v>44094</v>
      </c>
      <c r="G216">
        <v>5810</v>
      </c>
      <c r="H216">
        <v>421.89</v>
      </c>
      <c r="I216">
        <v>364.69</v>
      </c>
      <c r="J216">
        <v>2451180.9</v>
      </c>
      <c r="K216">
        <v>2118848.9</v>
      </c>
    </row>
    <row r="217" spans="1:11" x14ac:dyDescent="0.35">
      <c r="A217" t="s">
        <v>229</v>
      </c>
      <c r="B217" t="s">
        <v>986</v>
      </c>
      <c r="C217" t="s">
        <v>19</v>
      </c>
      <c r="D217" s="1">
        <v>43843</v>
      </c>
      <c r="E217">
        <v>694697988</v>
      </c>
      <c r="F217" s="1">
        <v>43884</v>
      </c>
      <c r="G217">
        <v>5427</v>
      </c>
      <c r="H217">
        <v>154.06</v>
      </c>
      <c r="I217">
        <v>90.93</v>
      </c>
      <c r="J217">
        <v>836083.62</v>
      </c>
      <c r="K217">
        <v>493477.11000000004</v>
      </c>
    </row>
    <row r="218" spans="1:11" x14ac:dyDescent="0.35">
      <c r="A218" t="s">
        <v>230</v>
      </c>
      <c r="B218" t="s">
        <v>984</v>
      </c>
      <c r="C218" t="s">
        <v>19</v>
      </c>
      <c r="D218" s="1">
        <v>44326</v>
      </c>
      <c r="E218">
        <v>172662436</v>
      </c>
      <c r="F218" s="1">
        <v>44357</v>
      </c>
      <c r="G218">
        <v>3507</v>
      </c>
      <c r="H218">
        <v>651.21</v>
      </c>
      <c r="I218">
        <v>524.96</v>
      </c>
      <c r="J218">
        <v>2283793.4700000002</v>
      </c>
      <c r="K218">
        <v>1841034.7200000002</v>
      </c>
    </row>
    <row r="219" spans="1:11" x14ac:dyDescent="0.35">
      <c r="A219" t="s">
        <v>231</v>
      </c>
      <c r="B219" t="s">
        <v>978</v>
      </c>
      <c r="C219" t="s">
        <v>19</v>
      </c>
      <c r="D219" s="1">
        <v>44545</v>
      </c>
      <c r="E219">
        <v>121239984</v>
      </c>
      <c r="F219" s="1">
        <v>44574</v>
      </c>
      <c r="G219">
        <v>6460</v>
      </c>
      <c r="H219">
        <v>47.45</v>
      </c>
      <c r="I219">
        <v>31.79</v>
      </c>
      <c r="J219">
        <v>306527</v>
      </c>
      <c r="K219">
        <v>205363.4</v>
      </c>
    </row>
    <row r="220" spans="1:11" x14ac:dyDescent="0.35">
      <c r="A220" t="s">
        <v>232</v>
      </c>
      <c r="B220" t="s">
        <v>976</v>
      </c>
      <c r="C220" t="s">
        <v>19</v>
      </c>
      <c r="D220" s="1">
        <v>44198</v>
      </c>
      <c r="E220">
        <v>874854457</v>
      </c>
      <c r="F220" s="1">
        <v>44200</v>
      </c>
      <c r="G220">
        <v>7730</v>
      </c>
      <c r="H220">
        <v>255.28</v>
      </c>
      <c r="I220">
        <v>159.41999999999999</v>
      </c>
      <c r="J220">
        <v>1973314.4</v>
      </c>
      <c r="K220">
        <v>1232316.5999999999</v>
      </c>
    </row>
    <row r="221" spans="1:11" x14ac:dyDescent="0.35">
      <c r="A221" t="s">
        <v>233</v>
      </c>
      <c r="B221" t="s">
        <v>970</v>
      </c>
      <c r="C221" t="s">
        <v>19</v>
      </c>
      <c r="D221" s="1">
        <v>44171</v>
      </c>
      <c r="E221">
        <v>588242185</v>
      </c>
      <c r="F221" s="1">
        <v>44206</v>
      </c>
      <c r="G221">
        <v>2789</v>
      </c>
      <c r="H221">
        <v>421.89</v>
      </c>
      <c r="I221">
        <v>364.69</v>
      </c>
      <c r="J221">
        <v>1176651.21</v>
      </c>
      <c r="K221">
        <v>1017120.41</v>
      </c>
    </row>
    <row r="222" spans="1:11" x14ac:dyDescent="0.35">
      <c r="A222" t="s">
        <v>234</v>
      </c>
      <c r="B222" t="s">
        <v>982</v>
      </c>
      <c r="C222" t="s">
        <v>17</v>
      </c>
      <c r="D222" s="1">
        <v>43933</v>
      </c>
      <c r="E222">
        <v>186451995</v>
      </c>
      <c r="F222" s="1">
        <v>43980</v>
      </c>
      <c r="G222">
        <v>4144</v>
      </c>
      <c r="H222">
        <v>81.73</v>
      </c>
      <c r="I222">
        <v>56.67</v>
      </c>
      <c r="J222">
        <v>338689.12</v>
      </c>
      <c r="K222">
        <v>234840.48</v>
      </c>
    </row>
    <row r="223" spans="1:11" x14ac:dyDescent="0.35">
      <c r="A223" t="s">
        <v>235</v>
      </c>
      <c r="B223" t="s">
        <v>976</v>
      </c>
      <c r="C223" t="s">
        <v>17</v>
      </c>
      <c r="D223" s="1">
        <v>44143</v>
      </c>
      <c r="E223">
        <v>214845216</v>
      </c>
      <c r="F223" s="1">
        <v>44164</v>
      </c>
      <c r="G223">
        <v>6329</v>
      </c>
      <c r="H223">
        <v>255.28</v>
      </c>
      <c r="I223">
        <v>159.41999999999999</v>
      </c>
      <c r="J223">
        <v>1615667.12</v>
      </c>
      <c r="K223">
        <v>1008969.1799999999</v>
      </c>
    </row>
    <row r="224" spans="1:11" x14ac:dyDescent="0.35">
      <c r="A224" t="s">
        <v>236</v>
      </c>
      <c r="B224" t="s">
        <v>990</v>
      </c>
      <c r="C224" t="s">
        <v>17</v>
      </c>
      <c r="D224" s="1">
        <v>44041</v>
      </c>
      <c r="E224">
        <v>389095675</v>
      </c>
      <c r="F224" s="1">
        <v>44073</v>
      </c>
      <c r="G224">
        <v>912</v>
      </c>
      <c r="H224">
        <v>668.27</v>
      </c>
      <c r="I224">
        <v>502.54</v>
      </c>
      <c r="J224">
        <v>609462.24</v>
      </c>
      <c r="K224">
        <v>458316.48000000004</v>
      </c>
    </row>
    <row r="225" spans="1:11" x14ac:dyDescent="0.35">
      <c r="A225" t="s">
        <v>237</v>
      </c>
      <c r="B225" t="s">
        <v>972</v>
      </c>
      <c r="C225" t="s">
        <v>17</v>
      </c>
      <c r="D225" s="1">
        <v>44058</v>
      </c>
      <c r="E225">
        <v>945189702</v>
      </c>
      <c r="F225" s="1">
        <v>44072</v>
      </c>
      <c r="G225">
        <v>1492</v>
      </c>
      <c r="H225">
        <v>205.7</v>
      </c>
      <c r="I225">
        <v>117.11</v>
      </c>
      <c r="J225">
        <v>306904.39999999997</v>
      </c>
      <c r="K225">
        <v>174728.12</v>
      </c>
    </row>
    <row r="226" spans="1:11" x14ac:dyDescent="0.35">
      <c r="A226" t="s">
        <v>238</v>
      </c>
      <c r="B226" t="s">
        <v>972</v>
      </c>
      <c r="C226" t="s">
        <v>12</v>
      </c>
      <c r="D226" s="1">
        <v>44249</v>
      </c>
      <c r="E226">
        <v>389426124</v>
      </c>
      <c r="F226" s="1">
        <v>44291</v>
      </c>
      <c r="G226">
        <v>8699</v>
      </c>
      <c r="H226">
        <v>205.7</v>
      </c>
      <c r="I226">
        <v>117.11</v>
      </c>
      <c r="J226">
        <v>1789384.2999999998</v>
      </c>
      <c r="K226">
        <v>1018739.89</v>
      </c>
    </row>
    <row r="227" spans="1:11" x14ac:dyDescent="0.35">
      <c r="A227" t="s">
        <v>239</v>
      </c>
      <c r="B227" t="s">
        <v>972</v>
      </c>
      <c r="C227" t="s">
        <v>19</v>
      </c>
      <c r="D227" s="1">
        <v>44817</v>
      </c>
      <c r="E227">
        <v>448416268</v>
      </c>
      <c r="F227" s="1">
        <v>44819</v>
      </c>
      <c r="G227">
        <v>5193</v>
      </c>
      <c r="H227">
        <v>205.7</v>
      </c>
      <c r="I227">
        <v>117.11</v>
      </c>
      <c r="J227">
        <v>1068200.0999999999</v>
      </c>
      <c r="K227">
        <v>608152.23</v>
      </c>
    </row>
    <row r="228" spans="1:11" x14ac:dyDescent="0.35">
      <c r="A228" t="s">
        <v>240</v>
      </c>
      <c r="B228" t="s">
        <v>990</v>
      </c>
      <c r="C228" t="s">
        <v>17</v>
      </c>
      <c r="D228" s="1">
        <v>44545</v>
      </c>
      <c r="E228">
        <v>219083964</v>
      </c>
      <c r="F228" s="1">
        <v>44566</v>
      </c>
      <c r="G228">
        <v>668</v>
      </c>
      <c r="H228">
        <v>668.27</v>
      </c>
      <c r="I228">
        <v>502.54</v>
      </c>
      <c r="J228">
        <v>446404.36</v>
      </c>
      <c r="K228">
        <v>335696.72000000003</v>
      </c>
    </row>
    <row r="229" spans="1:11" x14ac:dyDescent="0.35">
      <c r="A229" t="s">
        <v>209</v>
      </c>
      <c r="B229" t="s">
        <v>980</v>
      </c>
      <c r="C229" t="s">
        <v>14</v>
      </c>
      <c r="D229" s="1">
        <v>44451</v>
      </c>
      <c r="E229">
        <v>218665540</v>
      </c>
      <c r="F229" s="1">
        <v>44488</v>
      </c>
      <c r="G229">
        <v>6847</v>
      </c>
      <c r="H229">
        <v>437.2</v>
      </c>
      <c r="I229">
        <v>263.33</v>
      </c>
      <c r="J229">
        <v>2993508.4</v>
      </c>
      <c r="K229">
        <v>1803020.5099999998</v>
      </c>
    </row>
    <row r="230" spans="1:11" x14ac:dyDescent="0.35">
      <c r="A230" t="s">
        <v>241</v>
      </c>
      <c r="B230" t="s">
        <v>972</v>
      </c>
      <c r="C230" t="s">
        <v>14</v>
      </c>
      <c r="D230" s="1">
        <v>44133</v>
      </c>
      <c r="E230">
        <v>134709823</v>
      </c>
      <c r="F230" s="1">
        <v>44160</v>
      </c>
      <c r="G230">
        <v>2485</v>
      </c>
      <c r="H230">
        <v>205.7</v>
      </c>
      <c r="I230">
        <v>117.11</v>
      </c>
      <c r="J230">
        <v>511164.5</v>
      </c>
      <c r="K230">
        <v>291018.34999999998</v>
      </c>
    </row>
    <row r="231" spans="1:11" x14ac:dyDescent="0.35">
      <c r="A231" t="s">
        <v>242</v>
      </c>
      <c r="B231" t="s">
        <v>986</v>
      </c>
      <c r="C231" t="s">
        <v>14</v>
      </c>
      <c r="D231" s="1">
        <v>44382</v>
      </c>
      <c r="E231">
        <v>175078141</v>
      </c>
      <c r="F231" s="1">
        <v>44413</v>
      </c>
      <c r="G231">
        <v>8367</v>
      </c>
      <c r="H231">
        <v>154.06</v>
      </c>
      <c r="I231">
        <v>90.93</v>
      </c>
      <c r="J231">
        <v>1289020.02</v>
      </c>
      <c r="K231">
        <v>760811.31</v>
      </c>
    </row>
    <row r="232" spans="1:11" x14ac:dyDescent="0.35">
      <c r="A232" t="s">
        <v>243</v>
      </c>
      <c r="B232" t="s">
        <v>984</v>
      </c>
      <c r="C232" t="s">
        <v>17</v>
      </c>
      <c r="D232" s="1">
        <v>44568</v>
      </c>
      <c r="E232">
        <v>617944324</v>
      </c>
      <c r="F232" s="1">
        <v>44596</v>
      </c>
      <c r="G232">
        <v>2312</v>
      </c>
      <c r="H232">
        <v>651.21</v>
      </c>
      <c r="I232">
        <v>524.96</v>
      </c>
      <c r="J232">
        <v>1505597.52</v>
      </c>
      <c r="K232">
        <v>1213707.52</v>
      </c>
    </row>
    <row r="233" spans="1:11" x14ac:dyDescent="0.35">
      <c r="A233" t="s">
        <v>244</v>
      </c>
      <c r="B233" t="s">
        <v>980</v>
      </c>
      <c r="C233" t="s">
        <v>12</v>
      </c>
      <c r="D233" s="1">
        <v>44208</v>
      </c>
      <c r="E233">
        <v>461794698</v>
      </c>
      <c r="F233" s="1">
        <v>44218</v>
      </c>
      <c r="G233">
        <v>4168</v>
      </c>
      <c r="H233">
        <v>437.2</v>
      </c>
      <c r="I233">
        <v>263.33</v>
      </c>
      <c r="J233">
        <v>1822249.5999999999</v>
      </c>
      <c r="K233">
        <v>1097559.44</v>
      </c>
    </row>
    <row r="234" spans="1:11" x14ac:dyDescent="0.35">
      <c r="A234" t="s">
        <v>245</v>
      </c>
      <c r="B234" t="s">
        <v>988</v>
      </c>
      <c r="C234" t="s">
        <v>14</v>
      </c>
      <c r="D234" s="1">
        <v>44532</v>
      </c>
      <c r="E234">
        <v>575428092</v>
      </c>
      <c r="F234" s="1">
        <v>44540</v>
      </c>
      <c r="G234">
        <v>815</v>
      </c>
      <c r="H234">
        <v>109.28</v>
      </c>
      <c r="I234">
        <v>35.840000000000003</v>
      </c>
      <c r="J234">
        <v>89063.2</v>
      </c>
      <c r="K234">
        <v>29209.600000000002</v>
      </c>
    </row>
    <row r="235" spans="1:11" x14ac:dyDescent="0.35">
      <c r="A235" t="s">
        <v>246</v>
      </c>
      <c r="B235" t="s">
        <v>976</v>
      </c>
      <c r="C235" t="s">
        <v>19</v>
      </c>
      <c r="D235" s="1">
        <v>44829</v>
      </c>
      <c r="E235">
        <v>547955834</v>
      </c>
      <c r="F235" s="1">
        <v>44843</v>
      </c>
      <c r="G235">
        <v>1163</v>
      </c>
      <c r="H235">
        <v>255.28</v>
      </c>
      <c r="I235">
        <v>159.41999999999999</v>
      </c>
      <c r="J235">
        <v>296890.64</v>
      </c>
      <c r="K235">
        <v>185405.46</v>
      </c>
    </row>
    <row r="236" spans="1:11" x14ac:dyDescent="0.35">
      <c r="A236" t="s">
        <v>247</v>
      </c>
      <c r="B236" t="s">
        <v>978</v>
      </c>
      <c r="C236" t="s">
        <v>19</v>
      </c>
      <c r="D236" s="1">
        <v>44013</v>
      </c>
      <c r="E236">
        <v>938801753</v>
      </c>
      <c r="F236" s="1">
        <v>44024</v>
      </c>
      <c r="G236">
        <v>1156</v>
      </c>
      <c r="H236">
        <v>47.45</v>
      </c>
      <c r="I236">
        <v>31.79</v>
      </c>
      <c r="J236">
        <v>54852.200000000004</v>
      </c>
      <c r="K236">
        <v>36749.24</v>
      </c>
    </row>
    <row r="237" spans="1:11" x14ac:dyDescent="0.35">
      <c r="A237" t="s">
        <v>248</v>
      </c>
      <c r="B237" t="s">
        <v>972</v>
      </c>
      <c r="C237" t="s">
        <v>14</v>
      </c>
      <c r="D237" s="1">
        <v>44275</v>
      </c>
      <c r="E237">
        <v>127702176</v>
      </c>
      <c r="F237" s="1">
        <v>44318</v>
      </c>
      <c r="G237">
        <v>8767</v>
      </c>
      <c r="H237">
        <v>205.7</v>
      </c>
      <c r="I237">
        <v>117.11</v>
      </c>
      <c r="J237">
        <v>1803371.9</v>
      </c>
      <c r="K237">
        <v>1026703.37</v>
      </c>
    </row>
    <row r="238" spans="1:11" x14ac:dyDescent="0.35">
      <c r="A238" t="s">
        <v>249</v>
      </c>
      <c r="B238" t="s">
        <v>984</v>
      </c>
      <c r="C238" t="s">
        <v>14</v>
      </c>
      <c r="D238" s="1">
        <v>44303</v>
      </c>
      <c r="E238">
        <v>164705932</v>
      </c>
      <c r="F238" s="1">
        <v>44347</v>
      </c>
      <c r="G238">
        <v>9000</v>
      </c>
      <c r="H238">
        <v>651.21</v>
      </c>
      <c r="I238">
        <v>524.96</v>
      </c>
      <c r="J238">
        <v>5860890</v>
      </c>
      <c r="K238">
        <v>4724640</v>
      </c>
    </row>
    <row r="239" spans="1:11" x14ac:dyDescent="0.35">
      <c r="A239" t="s">
        <v>250</v>
      </c>
      <c r="B239" t="s">
        <v>986</v>
      </c>
      <c r="C239" t="s">
        <v>17</v>
      </c>
      <c r="D239" s="1">
        <v>43971</v>
      </c>
      <c r="E239">
        <v>920174348</v>
      </c>
      <c r="F239" s="1">
        <v>43981</v>
      </c>
      <c r="G239">
        <v>8893</v>
      </c>
      <c r="H239">
        <v>154.06</v>
      </c>
      <c r="I239">
        <v>90.93</v>
      </c>
      <c r="J239">
        <v>1370055.58</v>
      </c>
      <c r="K239">
        <v>808640.49000000011</v>
      </c>
    </row>
    <row r="240" spans="1:11" x14ac:dyDescent="0.35">
      <c r="A240" t="s">
        <v>251</v>
      </c>
      <c r="B240" t="s">
        <v>970</v>
      </c>
      <c r="C240" t="s">
        <v>19</v>
      </c>
      <c r="D240" s="1">
        <v>44868</v>
      </c>
      <c r="E240">
        <v>534781253</v>
      </c>
      <c r="F240" s="1">
        <v>44895</v>
      </c>
      <c r="G240">
        <v>2512</v>
      </c>
      <c r="H240">
        <v>421.89</v>
      </c>
      <c r="I240">
        <v>364.69</v>
      </c>
      <c r="J240">
        <v>1059787.68</v>
      </c>
      <c r="K240">
        <v>916101.28</v>
      </c>
    </row>
    <row r="241" spans="1:11" x14ac:dyDescent="0.35">
      <c r="A241" t="s">
        <v>252</v>
      </c>
      <c r="B241" t="s">
        <v>986</v>
      </c>
      <c r="C241" t="s">
        <v>17</v>
      </c>
      <c r="D241" s="1">
        <v>44555</v>
      </c>
      <c r="E241">
        <v>369512975</v>
      </c>
      <c r="F241" s="1">
        <v>44597</v>
      </c>
      <c r="G241">
        <v>5955</v>
      </c>
      <c r="H241">
        <v>154.06</v>
      </c>
      <c r="I241">
        <v>90.93</v>
      </c>
      <c r="J241">
        <v>917427.3</v>
      </c>
      <c r="K241">
        <v>541488.15</v>
      </c>
    </row>
    <row r="242" spans="1:11" x14ac:dyDescent="0.35">
      <c r="A242" t="s">
        <v>253</v>
      </c>
      <c r="B242" t="s">
        <v>974</v>
      </c>
      <c r="C242" t="s">
        <v>12</v>
      </c>
      <c r="D242" s="1">
        <v>44392</v>
      </c>
      <c r="E242">
        <v>955668342</v>
      </c>
      <c r="F242" s="1">
        <v>44434</v>
      </c>
      <c r="G242">
        <v>2354</v>
      </c>
      <c r="H242">
        <v>9.33</v>
      </c>
      <c r="I242">
        <v>6.92</v>
      </c>
      <c r="J242">
        <v>21962.82</v>
      </c>
      <c r="K242">
        <v>16289.68</v>
      </c>
    </row>
    <row r="243" spans="1:11" x14ac:dyDescent="0.35">
      <c r="A243" t="s">
        <v>254</v>
      </c>
      <c r="B243" t="s">
        <v>970</v>
      </c>
      <c r="C243" t="s">
        <v>12</v>
      </c>
      <c r="D243" s="1">
        <v>44842</v>
      </c>
      <c r="E243">
        <v>644858682</v>
      </c>
      <c r="F243" s="1">
        <v>44869</v>
      </c>
      <c r="G243">
        <v>6869</v>
      </c>
      <c r="H243">
        <v>421.89</v>
      </c>
      <c r="I243">
        <v>364.69</v>
      </c>
      <c r="J243">
        <v>2897962.4099999997</v>
      </c>
      <c r="K243">
        <v>2505055.61</v>
      </c>
    </row>
    <row r="244" spans="1:11" x14ac:dyDescent="0.35">
      <c r="A244" t="s">
        <v>255</v>
      </c>
      <c r="B244" t="s">
        <v>986</v>
      </c>
      <c r="C244" t="s">
        <v>14</v>
      </c>
      <c r="D244" s="1">
        <v>43905</v>
      </c>
      <c r="E244">
        <v>559007823</v>
      </c>
      <c r="F244" s="1">
        <v>43939</v>
      </c>
      <c r="G244">
        <v>1692</v>
      </c>
      <c r="H244">
        <v>154.06</v>
      </c>
      <c r="I244">
        <v>90.93</v>
      </c>
      <c r="J244">
        <v>260669.52</v>
      </c>
      <c r="K244">
        <v>153853.56</v>
      </c>
    </row>
    <row r="245" spans="1:11" x14ac:dyDescent="0.35">
      <c r="A245" t="s">
        <v>193</v>
      </c>
      <c r="B245" t="s">
        <v>978</v>
      </c>
      <c r="C245" t="s">
        <v>19</v>
      </c>
      <c r="D245" s="1">
        <v>43905</v>
      </c>
      <c r="E245">
        <v>540352094</v>
      </c>
      <c r="F245" s="1">
        <v>43920</v>
      </c>
      <c r="G245">
        <v>1047</v>
      </c>
      <c r="H245">
        <v>47.45</v>
      </c>
      <c r="I245">
        <v>31.79</v>
      </c>
      <c r="J245">
        <v>49680.15</v>
      </c>
      <c r="K245">
        <v>33284.129999999997</v>
      </c>
    </row>
    <row r="246" spans="1:11" x14ac:dyDescent="0.35">
      <c r="A246" t="s">
        <v>256</v>
      </c>
      <c r="B246" t="s">
        <v>984</v>
      </c>
      <c r="C246" t="s">
        <v>12</v>
      </c>
      <c r="D246" s="1">
        <v>44701</v>
      </c>
      <c r="E246">
        <v>501440322</v>
      </c>
      <c r="F246" s="1">
        <v>44711</v>
      </c>
      <c r="G246">
        <v>6189</v>
      </c>
      <c r="H246">
        <v>651.21</v>
      </c>
      <c r="I246">
        <v>524.96</v>
      </c>
      <c r="J246">
        <v>4030338.6900000004</v>
      </c>
      <c r="K246">
        <v>3248977.4400000004</v>
      </c>
    </row>
    <row r="247" spans="1:11" x14ac:dyDescent="0.35">
      <c r="A247" t="s">
        <v>257</v>
      </c>
      <c r="B247" t="s">
        <v>990</v>
      </c>
      <c r="C247" t="s">
        <v>12</v>
      </c>
      <c r="D247" s="1">
        <v>44212</v>
      </c>
      <c r="E247">
        <v>875133836</v>
      </c>
      <c r="F247" s="1">
        <v>44233</v>
      </c>
      <c r="G247">
        <v>404</v>
      </c>
      <c r="H247">
        <v>668.27</v>
      </c>
      <c r="I247">
        <v>502.54</v>
      </c>
      <c r="J247">
        <v>269981.08</v>
      </c>
      <c r="K247">
        <v>203026.16</v>
      </c>
    </row>
    <row r="248" spans="1:11" x14ac:dyDescent="0.35">
      <c r="A248" t="s">
        <v>258</v>
      </c>
      <c r="B248" t="s">
        <v>988</v>
      </c>
      <c r="C248" t="s">
        <v>12</v>
      </c>
      <c r="D248" s="1">
        <v>44158</v>
      </c>
      <c r="E248">
        <v>364606463</v>
      </c>
      <c r="F248" s="1">
        <v>44198</v>
      </c>
      <c r="G248">
        <v>4010</v>
      </c>
      <c r="H248">
        <v>109.28</v>
      </c>
      <c r="I248">
        <v>35.840000000000003</v>
      </c>
      <c r="J248">
        <v>438212.8</v>
      </c>
      <c r="K248">
        <v>143718.40000000002</v>
      </c>
    </row>
    <row r="249" spans="1:11" x14ac:dyDescent="0.35">
      <c r="A249" t="s">
        <v>259</v>
      </c>
      <c r="B249" t="s">
        <v>974</v>
      </c>
      <c r="C249" t="s">
        <v>17</v>
      </c>
      <c r="D249" s="1">
        <v>44316</v>
      </c>
      <c r="E249">
        <v>893344533</v>
      </c>
      <c r="F249" s="1">
        <v>44336</v>
      </c>
      <c r="G249">
        <v>9354</v>
      </c>
      <c r="H249">
        <v>9.33</v>
      </c>
      <c r="I249">
        <v>6.92</v>
      </c>
      <c r="J249">
        <v>87272.82</v>
      </c>
      <c r="K249">
        <v>64729.68</v>
      </c>
    </row>
    <row r="250" spans="1:11" x14ac:dyDescent="0.35">
      <c r="A250" t="s">
        <v>260</v>
      </c>
      <c r="B250" t="s">
        <v>974</v>
      </c>
      <c r="C250" t="s">
        <v>12</v>
      </c>
      <c r="D250" s="1">
        <v>44089</v>
      </c>
      <c r="E250">
        <v>855146872</v>
      </c>
      <c r="F250" s="1">
        <v>44094</v>
      </c>
      <c r="G250">
        <v>5818</v>
      </c>
      <c r="H250">
        <v>9.33</v>
      </c>
      <c r="I250">
        <v>6.92</v>
      </c>
      <c r="J250">
        <v>54281.94</v>
      </c>
      <c r="K250">
        <v>40260.559999999998</v>
      </c>
    </row>
    <row r="251" spans="1:11" x14ac:dyDescent="0.35">
      <c r="A251" t="s">
        <v>261</v>
      </c>
      <c r="B251" t="s">
        <v>980</v>
      </c>
      <c r="C251" t="s">
        <v>12</v>
      </c>
      <c r="D251" s="1">
        <v>44073</v>
      </c>
      <c r="E251">
        <v>964124810</v>
      </c>
      <c r="F251" s="1">
        <v>44074</v>
      </c>
      <c r="G251">
        <v>4811</v>
      </c>
      <c r="H251">
        <v>437.2</v>
      </c>
      <c r="I251">
        <v>263.33</v>
      </c>
      <c r="J251">
        <v>2103369.1999999997</v>
      </c>
      <c r="K251">
        <v>1266880.6299999999</v>
      </c>
    </row>
    <row r="252" spans="1:11" x14ac:dyDescent="0.35">
      <c r="A252" t="s">
        <v>262</v>
      </c>
      <c r="B252" t="s">
        <v>968</v>
      </c>
      <c r="C252" t="s">
        <v>12</v>
      </c>
      <c r="D252" s="1">
        <v>44484</v>
      </c>
      <c r="E252">
        <v>204702174</v>
      </c>
      <c r="F252" s="1">
        <v>44486</v>
      </c>
      <c r="G252">
        <v>4777</v>
      </c>
      <c r="H252">
        <v>152.58000000000001</v>
      </c>
      <c r="I252">
        <v>97.44</v>
      </c>
      <c r="J252">
        <v>728874.66</v>
      </c>
      <c r="K252">
        <v>465470.88</v>
      </c>
    </row>
    <row r="253" spans="1:11" x14ac:dyDescent="0.35">
      <c r="A253" t="s">
        <v>263</v>
      </c>
      <c r="B253" t="s">
        <v>970</v>
      </c>
      <c r="C253" t="s">
        <v>19</v>
      </c>
      <c r="D253" s="1">
        <v>44645</v>
      </c>
      <c r="E253">
        <v>781615293</v>
      </c>
      <c r="F253" s="1">
        <v>44661</v>
      </c>
      <c r="G253">
        <v>6189</v>
      </c>
      <c r="H253">
        <v>421.89</v>
      </c>
      <c r="I253">
        <v>364.69</v>
      </c>
      <c r="J253">
        <v>2611077.21</v>
      </c>
      <c r="K253">
        <v>2257066.41</v>
      </c>
    </row>
    <row r="254" spans="1:11" x14ac:dyDescent="0.35">
      <c r="A254" t="s">
        <v>264</v>
      </c>
      <c r="B254" t="s">
        <v>978</v>
      </c>
      <c r="C254" t="s">
        <v>14</v>
      </c>
      <c r="D254" s="1">
        <v>44546</v>
      </c>
      <c r="E254">
        <v>469912993</v>
      </c>
      <c r="F254" s="1">
        <v>44583</v>
      </c>
      <c r="G254">
        <v>6552</v>
      </c>
      <c r="H254">
        <v>47.45</v>
      </c>
      <c r="I254">
        <v>31.79</v>
      </c>
      <c r="J254">
        <v>310892.40000000002</v>
      </c>
      <c r="K254">
        <v>208288.08</v>
      </c>
    </row>
    <row r="255" spans="1:11" x14ac:dyDescent="0.35">
      <c r="A255" t="s">
        <v>265</v>
      </c>
      <c r="B255" t="s">
        <v>980</v>
      </c>
      <c r="C255" t="s">
        <v>12</v>
      </c>
      <c r="D255" s="1">
        <v>44325</v>
      </c>
      <c r="E255">
        <v>264956605</v>
      </c>
      <c r="F255" s="1">
        <v>44351</v>
      </c>
      <c r="G255">
        <v>5402</v>
      </c>
      <c r="H255">
        <v>437.2</v>
      </c>
      <c r="I255">
        <v>263.33</v>
      </c>
      <c r="J255">
        <v>2361754.4</v>
      </c>
      <c r="K255">
        <v>1422508.66</v>
      </c>
    </row>
    <row r="256" spans="1:11" x14ac:dyDescent="0.35">
      <c r="A256" t="s">
        <v>266</v>
      </c>
      <c r="B256" t="s">
        <v>968</v>
      </c>
      <c r="C256" t="s">
        <v>12</v>
      </c>
      <c r="D256" s="1">
        <v>44786</v>
      </c>
      <c r="E256">
        <v>332419955</v>
      </c>
      <c r="F256" s="1">
        <v>44816</v>
      </c>
      <c r="G256">
        <v>9307</v>
      </c>
      <c r="H256">
        <v>152.58000000000001</v>
      </c>
      <c r="I256">
        <v>97.44</v>
      </c>
      <c r="J256">
        <v>1420062.06</v>
      </c>
      <c r="K256">
        <v>906874.08</v>
      </c>
    </row>
    <row r="257" spans="1:11" x14ac:dyDescent="0.35">
      <c r="A257" t="s">
        <v>267</v>
      </c>
      <c r="B257" t="s">
        <v>968</v>
      </c>
      <c r="C257" t="s">
        <v>19</v>
      </c>
      <c r="D257" s="1">
        <v>44795</v>
      </c>
      <c r="E257">
        <v>458289372</v>
      </c>
      <c r="F257" s="1">
        <v>44803</v>
      </c>
      <c r="G257">
        <v>6864</v>
      </c>
      <c r="H257">
        <v>152.58000000000001</v>
      </c>
      <c r="I257">
        <v>97.44</v>
      </c>
      <c r="J257">
        <v>1047309.1200000001</v>
      </c>
      <c r="K257">
        <v>668828.16000000003</v>
      </c>
    </row>
    <row r="258" spans="1:11" x14ac:dyDescent="0.35">
      <c r="A258" t="s">
        <v>268</v>
      </c>
      <c r="B258" t="s">
        <v>982</v>
      </c>
      <c r="C258" t="s">
        <v>14</v>
      </c>
      <c r="D258" s="1">
        <v>43886</v>
      </c>
      <c r="E258">
        <v>498863685</v>
      </c>
      <c r="F258" s="1">
        <v>43898</v>
      </c>
      <c r="G258">
        <v>3705</v>
      </c>
      <c r="H258">
        <v>81.73</v>
      </c>
      <c r="I258">
        <v>56.67</v>
      </c>
      <c r="J258">
        <v>302809.65000000002</v>
      </c>
      <c r="K258">
        <v>209962.35</v>
      </c>
    </row>
    <row r="259" spans="1:11" x14ac:dyDescent="0.35">
      <c r="A259" t="s">
        <v>269</v>
      </c>
      <c r="B259" t="s">
        <v>978</v>
      </c>
      <c r="C259" t="s">
        <v>17</v>
      </c>
      <c r="D259" s="1">
        <v>44870</v>
      </c>
      <c r="E259">
        <v>830754220</v>
      </c>
      <c r="F259" s="1">
        <v>44872</v>
      </c>
      <c r="G259">
        <v>7490</v>
      </c>
      <c r="H259">
        <v>47.45</v>
      </c>
      <c r="I259">
        <v>31.79</v>
      </c>
      <c r="J259">
        <v>355400.5</v>
      </c>
      <c r="K259">
        <v>238107.1</v>
      </c>
    </row>
    <row r="260" spans="1:11" x14ac:dyDescent="0.35">
      <c r="A260" t="s">
        <v>270</v>
      </c>
      <c r="B260" t="s">
        <v>976</v>
      </c>
      <c r="C260" t="s">
        <v>14</v>
      </c>
      <c r="D260" s="1">
        <v>43922</v>
      </c>
      <c r="E260">
        <v>100884807</v>
      </c>
      <c r="F260" s="1">
        <v>43951</v>
      </c>
      <c r="G260">
        <v>2911</v>
      </c>
      <c r="H260">
        <v>255.28</v>
      </c>
      <c r="I260">
        <v>159.41999999999999</v>
      </c>
      <c r="J260">
        <v>743120.08</v>
      </c>
      <c r="K260">
        <v>464071.61999999994</v>
      </c>
    </row>
    <row r="261" spans="1:11" x14ac:dyDescent="0.35">
      <c r="A261" t="s">
        <v>178</v>
      </c>
      <c r="B261" t="s">
        <v>970</v>
      </c>
      <c r="C261" t="s">
        <v>14</v>
      </c>
      <c r="D261" s="1">
        <v>44668</v>
      </c>
      <c r="E261">
        <v>176491773</v>
      </c>
      <c r="F261" s="1">
        <v>44675</v>
      </c>
      <c r="G261">
        <v>6692</v>
      </c>
      <c r="H261">
        <v>421.89</v>
      </c>
      <c r="I261">
        <v>364.69</v>
      </c>
      <c r="J261">
        <v>2823287.88</v>
      </c>
      <c r="K261">
        <v>2440505.48</v>
      </c>
    </row>
    <row r="262" spans="1:11" x14ac:dyDescent="0.35">
      <c r="A262" t="s">
        <v>271</v>
      </c>
      <c r="B262" t="s">
        <v>970</v>
      </c>
      <c r="C262" t="s">
        <v>17</v>
      </c>
      <c r="D262" s="1">
        <v>44099</v>
      </c>
      <c r="E262">
        <v>295123946</v>
      </c>
      <c r="F262" s="1">
        <v>44138</v>
      </c>
      <c r="G262">
        <v>2589</v>
      </c>
      <c r="H262">
        <v>421.89</v>
      </c>
      <c r="I262">
        <v>364.69</v>
      </c>
      <c r="J262">
        <v>1092273.21</v>
      </c>
      <c r="K262">
        <v>944182.41</v>
      </c>
    </row>
    <row r="263" spans="1:11" x14ac:dyDescent="0.35">
      <c r="A263" t="s">
        <v>272</v>
      </c>
      <c r="B263" t="s">
        <v>982</v>
      </c>
      <c r="C263" t="s">
        <v>17</v>
      </c>
      <c r="D263" s="1">
        <v>44568</v>
      </c>
      <c r="E263">
        <v>214642655</v>
      </c>
      <c r="F263" s="1">
        <v>44606</v>
      </c>
      <c r="G263">
        <v>6386</v>
      </c>
      <c r="H263">
        <v>81.73</v>
      </c>
      <c r="I263">
        <v>56.67</v>
      </c>
      <c r="J263">
        <v>521927.78</v>
      </c>
      <c r="K263">
        <v>361894.62</v>
      </c>
    </row>
    <row r="264" spans="1:11" x14ac:dyDescent="0.35">
      <c r="A264" t="s">
        <v>273</v>
      </c>
      <c r="B264" t="s">
        <v>970</v>
      </c>
      <c r="C264" t="s">
        <v>19</v>
      </c>
      <c r="D264" s="1">
        <v>43882</v>
      </c>
      <c r="E264">
        <v>663221728</v>
      </c>
      <c r="F264" s="1">
        <v>43891</v>
      </c>
      <c r="G264">
        <v>903</v>
      </c>
      <c r="H264">
        <v>421.89</v>
      </c>
      <c r="I264">
        <v>364.69</v>
      </c>
      <c r="J264">
        <v>380966.67</v>
      </c>
      <c r="K264">
        <v>329315.07</v>
      </c>
    </row>
    <row r="265" spans="1:11" x14ac:dyDescent="0.35">
      <c r="A265" t="s">
        <v>274</v>
      </c>
      <c r="B265" t="s">
        <v>988</v>
      </c>
      <c r="C265" t="s">
        <v>19</v>
      </c>
      <c r="D265" s="1">
        <v>44167</v>
      </c>
      <c r="E265">
        <v>189347493</v>
      </c>
      <c r="F265" s="1">
        <v>44186</v>
      </c>
      <c r="G265">
        <v>986</v>
      </c>
      <c r="H265">
        <v>109.28</v>
      </c>
      <c r="I265">
        <v>35.840000000000003</v>
      </c>
      <c r="J265">
        <v>107750.08</v>
      </c>
      <c r="K265">
        <v>35338.240000000005</v>
      </c>
    </row>
    <row r="266" spans="1:11" x14ac:dyDescent="0.35">
      <c r="A266" t="s">
        <v>275</v>
      </c>
      <c r="B266" t="s">
        <v>978</v>
      </c>
      <c r="C266" t="s">
        <v>14</v>
      </c>
      <c r="D266" s="1">
        <v>44042</v>
      </c>
      <c r="E266">
        <v>111818778</v>
      </c>
      <c r="F266" s="1">
        <v>44066</v>
      </c>
      <c r="G266">
        <v>8516</v>
      </c>
      <c r="H266">
        <v>47.45</v>
      </c>
      <c r="I266">
        <v>31.79</v>
      </c>
      <c r="J266">
        <v>404084.2</v>
      </c>
      <c r="K266">
        <v>270723.64</v>
      </c>
    </row>
    <row r="267" spans="1:11" x14ac:dyDescent="0.35">
      <c r="A267" t="s">
        <v>276</v>
      </c>
      <c r="B267" t="s">
        <v>984</v>
      </c>
      <c r="C267" t="s">
        <v>17</v>
      </c>
      <c r="D267" s="1">
        <v>44364</v>
      </c>
      <c r="E267">
        <v>469746911</v>
      </c>
      <c r="F267" s="1">
        <v>44405</v>
      </c>
      <c r="G267">
        <v>7405</v>
      </c>
      <c r="H267">
        <v>651.21</v>
      </c>
      <c r="I267">
        <v>524.96</v>
      </c>
      <c r="J267">
        <v>4822210.05</v>
      </c>
      <c r="K267">
        <v>3887328.8000000003</v>
      </c>
    </row>
    <row r="268" spans="1:11" x14ac:dyDescent="0.35">
      <c r="A268" t="s">
        <v>277</v>
      </c>
      <c r="B268" t="s">
        <v>990</v>
      </c>
      <c r="C268" t="s">
        <v>12</v>
      </c>
      <c r="D268" s="1">
        <v>44568</v>
      </c>
      <c r="E268">
        <v>472555720</v>
      </c>
      <c r="F268" s="1">
        <v>44595</v>
      </c>
      <c r="G268">
        <v>8594</v>
      </c>
      <c r="H268">
        <v>668.27</v>
      </c>
      <c r="I268">
        <v>502.54</v>
      </c>
      <c r="J268">
        <v>5743112.3799999999</v>
      </c>
      <c r="K268">
        <v>4318828.76</v>
      </c>
    </row>
    <row r="269" spans="1:11" x14ac:dyDescent="0.35">
      <c r="A269" t="s">
        <v>278</v>
      </c>
      <c r="B269" t="s">
        <v>988</v>
      </c>
      <c r="C269" t="s">
        <v>14</v>
      </c>
      <c r="D269" s="1">
        <v>44236</v>
      </c>
      <c r="E269">
        <v>749981534</v>
      </c>
      <c r="F269" s="1">
        <v>44238</v>
      </c>
      <c r="G269">
        <v>5057</v>
      </c>
      <c r="H269">
        <v>109.28</v>
      </c>
      <c r="I269">
        <v>35.840000000000003</v>
      </c>
      <c r="J269">
        <v>552628.96</v>
      </c>
      <c r="K269">
        <v>181242.88</v>
      </c>
    </row>
    <row r="270" spans="1:11" x14ac:dyDescent="0.35">
      <c r="A270" t="s">
        <v>279</v>
      </c>
      <c r="B270" t="s">
        <v>972</v>
      </c>
      <c r="C270" t="s">
        <v>12</v>
      </c>
      <c r="D270" s="1">
        <v>44663</v>
      </c>
      <c r="E270">
        <v>202073180</v>
      </c>
      <c r="F270" s="1">
        <v>44689</v>
      </c>
      <c r="G270">
        <v>6799</v>
      </c>
      <c r="H270">
        <v>205.7</v>
      </c>
      <c r="I270">
        <v>117.11</v>
      </c>
      <c r="J270">
        <v>1398554.2999999998</v>
      </c>
      <c r="K270">
        <v>796230.89</v>
      </c>
    </row>
    <row r="271" spans="1:11" x14ac:dyDescent="0.35">
      <c r="A271" t="s">
        <v>280</v>
      </c>
      <c r="B271" t="s">
        <v>990</v>
      </c>
      <c r="C271" t="s">
        <v>17</v>
      </c>
      <c r="D271" s="1">
        <v>44161</v>
      </c>
      <c r="E271">
        <v>949191987</v>
      </c>
      <c r="F271" s="1">
        <v>44180</v>
      </c>
      <c r="G271">
        <v>5857</v>
      </c>
      <c r="H271">
        <v>668.27</v>
      </c>
      <c r="I271">
        <v>502.54</v>
      </c>
      <c r="J271">
        <v>3914057.3899999997</v>
      </c>
      <c r="K271">
        <v>2943376.7800000003</v>
      </c>
    </row>
    <row r="272" spans="1:11" x14ac:dyDescent="0.35">
      <c r="A272" t="s">
        <v>281</v>
      </c>
      <c r="B272" t="s">
        <v>982</v>
      </c>
      <c r="C272" t="s">
        <v>17</v>
      </c>
      <c r="D272" s="1">
        <v>44838</v>
      </c>
      <c r="E272">
        <v>682011783</v>
      </c>
      <c r="F272" s="1">
        <v>44879</v>
      </c>
      <c r="G272">
        <v>1297</v>
      </c>
      <c r="H272">
        <v>81.73</v>
      </c>
      <c r="I272">
        <v>56.67</v>
      </c>
      <c r="J272">
        <v>106003.81000000001</v>
      </c>
      <c r="K272">
        <v>73500.990000000005</v>
      </c>
    </row>
    <row r="273" spans="1:11" x14ac:dyDescent="0.35">
      <c r="A273" t="s">
        <v>282</v>
      </c>
      <c r="B273" t="s">
        <v>988</v>
      </c>
      <c r="C273" t="s">
        <v>17</v>
      </c>
      <c r="D273" s="1">
        <v>44779</v>
      </c>
      <c r="E273">
        <v>311518895</v>
      </c>
      <c r="F273" s="1">
        <v>44794</v>
      </c>
      <c r="G273">
        <v>4219</v>
      </c>
      <c r="H273">
        <v>109.28</v>
      </c>
      <c r="I273">
        <v>35.840000000000003</v>
      </c>
      <c r="J273">
        <v>461052.32</v>
      </c>
      <c r="K273">
        <v>151208.96000000002</v>
      </c>
    </row>
    <row r="274" spans="1:11" x14ac:dyDescent="0.35">
      <c r="A274" t="s">
        <v>283</v>
      </c>
      <c r="B274" t="s">
        <v>980</v>
      </c>
      <c r="C274" t="s">
        <v>17</v>
      </c>
      <c r="D274" s="1">
        <v>44820</v>
      </c>
      <c r="E274">
        <v>819012153</v>
      </c>
      <c r="F274" s="1">
        <v>44822</v>
      </c>
      <c r="G274">
        <v>2751</v>
      </c>
      <c r="H274">
        <v>437.2</v>
      </c>
      <c r="I274">
        <v>263.33</v>
      </c>
      <c r="J274">
        <v>1202737.2</v>
      </c>
      <c r="K274">
        <v>724420.83</v>
      </c>
    </row>
    <row r="275" spans="1:11" x14ac:dyDescent="0.35">
      <c r="A275" t="s">
        <v>284</v>
      </c>
      <c r="B275" t="s">
        <v>984</v>
      </c>
      <c r="C275" t="s">
        <v>12</v>
      </c>
      <c r="D275" s="1">
        <v>43859</v>
      </c>
      <c r="E275">
        <v>106102883</v>
      </c>
      <c r="F275" s="1">
        <v>43889</v>
      </c>
      <c r="G275">
        <v>7056</v>
      </c>
      <c r="H275">
        <v>651.21</v>
      </c>
      <c r="I275">
        <v>524.96</v>
      </c>
      <c r="J275">
        <v>4594937.7600000007</v>
      </c>
      <c r="K275">
        <v>3704117.7600000002</v>
      </c>
    </row>
    <row r="276" spans="1:11" x14ac:dyDescent="0.35">
      <c r="A276" t="s">
        <v>285</v>
      </c>
      <c r="B276" t="s">
        <v>970</v>
      </c>
      <c r="C276" t="s">
        <v>19</v>
      </c>
      <c r="D276" s="1">
        <v>44595</v>
      </c>
      <c r="E276">
        <v>644714915</v>
      </c>
      <c r="F276" s="1">
        <v>44602</v>
      </c>
      <c r="G276">
        <v>4325</v>
      </c>
      <c r="H276">
        <v>421.89</v>
      </c>
      <c r="I276">
        <v>364.69</v>
      </c>
      <c r="J276">
        <v>1824674.25</v>
      </c>
      <c r="K276">
        <v>1577284.25</v>
      </c>
    </row>
    <row r="277" spans="1:11" x14ac:dyDescent="0.35">
      <c r="A277" t="s">
        <v>162</v>
      </c>
      <c r="B277" t="s">
        <v>978</v>
      </c>
      <c r="C277" t="s">
        <v>17</v>
      </c>
      <c r="D277" s="1">
        <v>44653</v>
      </c>
      <c r="E277">
        <v>927084577</v>
      </c>
      <c r="F277" s="1">
        <v>44667</v>
      </c>
      <c r="G277">
        <v>3783</v>
      </c>
      <c r="H277">
        <v>47.45</v>
      </c>
      <c r="I277">
        <v>31.79</v>
      </c>
      <c r="J277">
        <v>179503.35</v>
      </c>
      <c r="K277">
        <v>120261.56999999999</v>
      </c>
    </row>
    <row r="278" spans="1:11" x14ac:dyDescent="0.35">
      <c r="A278" t="s">
        <v>286</v>
      </c>
      <c r="B278" t="s">
        <v>986</v>
      </c>
      <c r="C278" t="s">
        <v>12</v>
      </c>
      <c r="D278" s="1">
        <v>44414</v>
      </c>
      <c r="E278">
        <v>415760695</v>
      </c>
      <c r="F278" s="1">
        <v>44426</v>
      </c>
      <c r="G278">
        <v>1684</v>
      </c>
      <c r="H278">
        <v>154.06</v>
      </c>
      <c r="I278">
        <v>90.93</v>
      </c>
      <c r="J278">
        <v>259437.04</v>
      </c>
      <c r="K278">
        <v>153126.12000000002</v>
      </c>
    </row>
    <row r="279" spans="1:11" x14ac:dyDescent="0.35">
      <c r="A279" t="s">
        <v>287</v>
      </c>
      <c r="B279" t="s">
        <v>972</v>
      </c>
      <c r="C279" t="s">
        <v>19</v>
      </c>
      <c r="D279" s="1">
        <v>44406</v>
      </c>
      <c r="E279">
        <v>893604600</v>
      </c>
      <c r="F279" s="1">
        <v>44437</v>
      </c>
      <c r="G279">
        <v>6314</v>
      </c>
      <c r="H279">
        <v>205.7</v>
      </c>
      <c r="I279">
        <v>117.11</v>
      </c>
      <c r="J279">
        <v>1298789.7999999998</v>
      </c>
      <c r="K279">
        <v>739432.54</v>
      </c>
    </row>
    <row r="280" spans="1:11" x14ac:dyDescent="0.35">
      <c r="A280" t="s">
        <v>288</v>
      </c>
      <c r="B280" t="s">
        <v>988</v>
      </c>
      <c r="C280" t="s">
        <v>17</v>
      </c>
      <c r="D280" s="1">
        <v>44785</v>
      </c>
      <c r="E280">
        <v>613790118</v>
      </c>
      <c r="F280" s="1">
        <v>44822</v>
      </c>
      <c r="G280">
        <v>2991</v>
      </c>
      <c r="H280">
        <v>109.28</v>
      </c>
      <c r="I280">
        <v>35.840000000000003</v>
      </c>
      <c r="J280">
        <v>326856.48</v>
      </c>
      <c r="K280">
        <v>107197.44000000002</v>
      </c>
    </row>
    <row r="281" spans="1:11" x14ac:dyDescent="0.35">
      <c r="A281" t="s">
        <v>289</v>
      </c>
      <c r="B281" t="s">
        <v>982</v>
      </c>
      <c r="C281" t="s">
        <v>14</v>
      </c>
      <c r="D281" s="1">
        <v>44804</v>
      </c>
      <c r="E281">
        <v>149803578</v>
      </c>
      <c r="F281" s="1">
        <v>44811</v>
      </c>
      <c r="G281">
        <v>9063</v>
      </c>
      <c r="H281">
        <v>81.73</v>
      </c>
      <c r="I281">
        <v>56.67</v>
      </c>
      <c r="J281">
        <v>740718.99</v>
      </c>
      <c r="K281">
        <v>513600.21</v>
      </c>
    </row>
    <row r="282" spans="1:11" x14ac:dyDescent="0.35">
      <c r="A282" t="s">
        <v>290</v>
      </c>
      <c r="B282" t="s">
        <v>968</v>
      </c>
      <c r="C282" t="s">
        <v>19</v>
      </c>
      <c r="D282" s="1">
        <v>44391</v>
      </c>
      <c r="E282">
        <v>145443809</v>
      </c>
      <c r="F282" s="1">
        <v>44403</v>
      </c>
      <c r="G282">
        <v>8910</v>
      </c>
      <c r="H282">
        <v>152.58000000000001</v>
      </c>
      <c r="I282">
        <v>97.44</v>
      </c>
      <c r="J282">
        <v>1359487.8</v>
      </c>
      <c r="K282">
        <v>868190.4</v>
      </c>
    </row>
    <row r="283" spans="1:11" x14ac:dyDescent="0.35">
      <c r="A283" t="s">
        <v>291</v>
      </c>
      <c r="B283" t="s">
        <v>988</v>
      </c>
      <c r="C283" t="s">
        <v>12</v>
      </c>
      <c r="D283" s="1">
        <v>44660</v>
      </c>
      <c r="E283">
        <v>864822137</v>
      </c>
      <c r="F283" s="1">
        <v>44692</v>
      </c>
      <c r="G283">
        <v>8943</v>
      </c>
      <c r="H283">
        <v>109.28</v>
      </c>
      <c r="I283">
        <v>35.840000000000003</v>
      </c>
      <c r="J283">
        <v>977291.04</v>
      </c>
      <c r="K283">
        <v>320517.12000000005</v>
      </c>
    </row>
    <row r="284" spans="1:11" x14ac:dyDescent="0.35">
      <c r="A284" t="s">
        <v>292</v>
      </c>
      <c r="B284" t="s">
        <v>984</v>
      </c>
      <c r="C284" t="s">
        <v>14</v>
      </c>
      <c r="D284" s="1">
        <v>44265</v>
      </c>
      <c r="E284">
        <v>842362391</v>
      </c>
      <c r="F284" s="1">
        <v>44300</v>
      </c>
      <c r="G284">
        <v>2606</v>
      </c>
      <c r="H284">
        <v>651.21</v>
      </c>
      <c r="I284">
        <v>524.96</v>
      </c>
      <c r="J284">
        <v>1697053.26</v>
      </c>
      <c r="K284">
        <v>1368045.76</v>
      </c>
    </row>
    <row r="285" spans="1:11" x14ac:dyDescent="0.35">
      <c r="A285" t="s">
        <v>293</v>
      </c>
      <c r="B285" t="s">
        <v>968</v>
      </c>
      <c r="C285" t="s">
        <v>17</v>
      </c>
      <c r="D285" s="1">
        <v>44092</v>
      </c>
      <c r="E285">
        <v>932800900</v>
      </c>
      <c r="F285" s="1">
        <v>44095</v>
      </c>
      <c r="G285">
        <v>5370</v>
      </c>
      <c r="H285">
        <v>152.58000000000001</v>
      </c>
      <c r="I285">
        <v>97.44</v>
      </c>
      <c r="J285">
        <v>819354.60000000009</v>
      </c>
      <c r="K285">
        <v>523252.8</v>
      </c>
    </row>
    <row r="286" spans="1:11" x14ac:dyDescent="0.35">
      <c r="A286" t="s">
        <v>294</v>
      </c>
      <c r="B286" t="s">
        <v>976</v>
      </c>
      <c r="C286" t="s">
        <v>14</v>
      </c>
      <c r="D286" s="1">
        <v>44654</v>
      </c>
      <c r="E286">
        <v>261186492</v>
      </c>
      <c r="F286" s="1">
        <v>44664</v>
      </c>
      <c r="G286">
        <v>9742</v>
      </c>
      <c r="H286">
        <v>255.28</v>
      </c>
      <c r="I286">
        <v>159.41999999999999</v>
      </c>
      <c r="J286">
        <v>2486937.7600000002</v>
      </c>
      <c r="K286">
        <v>1553069.64</v>
      </c>
    </row>
    <row r="287" spans="1:11" x14ac:dyDescent="0.35">
      <c r="A287" t="s">
        <v>295</v>
      </c>
      <c r="B287" t="s">
        <v>990</v>
      </c>
      <c r="C287" t="s">
        <v>19</v>
      </c>
      <c r="D287" s="1">
        <v>44523</v>
      </c>
      <c r="E287">
        <v>272880494</v>
      </c>
      <c r="F287" s="1">
        <v>44561</v>
      </c>
      <c r="G287">
        <v>257</v>
      </c>
      <c r="H287">
        <v>668.27</v>
      </c>
      <c r="I287">
        <v>502.54</v>
      </c>
      <c r="J287">
        <v>171745.38999999998</v>
      </c>
      <c r="K287">
        <v>129152.78</v>
      </c>
    </row>
    <row r="288" spans="1:11" x14ac:dyDescent="0.35">
      <c r="A288" t="s">
        <v>296</v>
      </c>
      <c r="B288" t="s">
        <v>988</v>
      </c>
      <c r="C288" t="s">
        <v>14</v>
      </c>
      <c r="D288" s="1">
        <v>43981</v>
      </c>
      <c r="E288">
        <v>683556735</v>
      </c>
      <c r="F288" s="1">
        <v>43990</v>
      </c>
      <c r="G288">
        <v>8483</v>
      </c>
      <c r="H288">
        <v>109.28</v>
      </c>
      <c r="I288">
        <v>35.840000000000003</v>
      </c>
      <c r="J288">
        <v>927022.24</v>
      </c>
      <c r="K288">
        <v>304030.72000000003</v>
      </c>
    </row>
    <row r="289" spans="1:11" x14ac:dyDescent="0.35">
      <c r="A289" t="s">
        <v>297</v>
      </c>
      <c r="B289" t="s">
        <v>978</v>
      </c>
      <c r="C289" t="s">
        <v>17</v>
      </c>
      <c r="D289" s="1">
        <v>44505</v>
      </c>
      <c r="E289">
        <v>829201543</v>
      </c>
      <c r="F289" s="1">
        <v>44515</v>
      </c>
      <c r="G289">
        <v>8018</v>
      </c>
      <c r="H289">
        <v>47.45</v>
      </c>
      <c r="I289">
        <v>31.79</v>
      </c>
      <c r="J289">
        <v>380454.10000000003</v>
      </c>
      <c r="K289">
        <v>254892.22</v>
      </c>
    </row>
    <row r="290" spans="1:11" x14ac:dyDescent="0.35">
      <c r="A290" t="s">
        <v>298</v>
      </c>
      <c r="B290" t="s">
        <v>978</v>
      </c>
      <c r="C290" t="s">
        <v>19</v>
      </c>
      <c r="D290" s="1">
        <v>44061</v>
      </c>
      <c r="E290">
        <v>116113746</v>
      </c>
      <c r="F290" s="1">
        <v>44075</v>
      </c>
      <c r="G290">
        <v>9493</v>
      </c>
      <c r="H290">
        <v>47.45</v>
      </c>
      <c r="I290">
        <v>31.79</v>
      </c>
      <c r="J290">
        <v>450442.85000000003</v>
      </c>
      <c r="K290">
        <v>301782.46999999997</v>
      </c>
    </row>
    <row r="291" spans="1:11" x14ac:dyDescent="0.35">
      <c r="A291" t="s">
        <v>299</v>
      </c>
      <c r="B291" t="s">
        <v>972</v>
      </c>
      <c r="C291" t="s">
        <v>19</v>
      </c>
      <c r="D291" s="1">
        <v>43896</v>
      </c>
      <c r="E291">
        <v>270904672</v>
      </c>
      <c r="F291" s="1">
        <v>43904</v>
      </c>
      <c r="G291">
        <v>5567</v>
      </c>
      <c r="H291">
        <v>205.7</v>
      </c>
      <c r="I291">
        <v>117.11</v>
      </c>
      <c r="J291">
        <v>1145131.8999999999</v>
      </c>
      <c r="K291">
        <v>651951.37</v>
      </c>
    </row>
    <row r="292" spans="1:11" x14ac:dyDescent="0.35">
      <c r="A292" t="s">
        <v>300</v>
      </c>
      <c r="B292" t="s">
        <v>972</v>
      </c>
      <c r="C292" t="s">
        <v>19</v>
      </c>
      <c r="D292" s="1">
        <v>43837</v>
      </c>
      <c r="E292">
        <v>390498149</v>
      </c>
      <c r="F292" s="1">
        <v>43856</v>
      </c>
      <c r="G292">
        <v>5935</v>
      </c>
      <c r="H292">
        <v>205.7</v>
      </c>
      <c r="I292">
        <v>117.11</v>
      </c>
      <c r="J292">
        <v>1220829.5</v>
      </c>
      <c r="K292">
        <v>695047.85</v>
      </c>
    </row>
    <row r="293" spans="1:11" x14ac:dyDescent="0.35">
      <c r="A293" t="s">
        <v>301</v>
      </c>
      <c r="B293" t="s">
        <v>980</v>
      </c>
      <c r="C293" t="s">
        <v>19</v>
      </c>
      <c r="D293" s="1">
        <v>43858</v>
      </c>
      <c r="E293">
        <v>992130506</v>
      </c>
      <c r="F293" s="1">
        <v>43893</v>
      </c>
      <c r="G293">
        <v>2319</v>
      </c>
      <c r="H293">
        <v>437.2</v>
      </c>
      <c r="I293">
        <v>263.33</v>
      </c>
      <c r="J293">
        <v>1013866.7999999999</v>
      </c>
      <c r="K293">
        <v>610662.27</v>
      </c>
    </row>
    <row r="294" spans="1:11" x14ac:dyDescent="0.35">
      <c r="A294" t="s">
        <v>302</v>
      </c>
      <c r="B294" t="s">
        <v>968</v>
      </c>
      <c r="C294" t="s">
        <v>12</v>
      </c>
      <c r="D294" s="1">
        <v>44602</v>
      </c>
      <c r="E294">
        <v>863350570</v>
      </c>
      <c r="F294" s="1">
        <v>44634</v>
      </c>
      <c r="G294">
        <v>3474</v>
      </c>
      <c r="H294">
        <v>152.58000000000001</v>
      </c>
      <c r="I294">
        <v>97.44</v>
      </c>
      <c r="J294">
        <v>530062.92000000004</v>
      </c>
      <c r="K294">
        <v>338506.56</v>
      </c>
    </row>
    <row r="295" spans="1:11" x14ac:dyDescent="0.35">
      <c r="A295" t="s">
        <v>303</v>
      </c>
      <c r="B295" t="s">
        <v>980</v>
      </c>
      <c r="C295" t="s">
        <v>17</v>
      </c>
      <c r="D295" s="1">
        <v>44770</v>
      </c>
      <c r="E295">
        <v>212019670</v>
      </c>
      <c r="F295" s="1">
        <v>44771</v>
      </c>
      <c r="G295">
        <v>187</v>
      </c>
      <c r="H295">
        <v>437.2</v>
      </c>
      <c r="I295">
        <v>263.33</v>
      </c>
      <c r="J295">
        <v>81756.399999999994</v>
      </c>
      <c r="K295">
        <v>49242.71</v>
      </c>
    </row>
    <row r="296" spans="1:11" x14ac:dyDescent="0.35">
      <c r="A296" t="s">
        <v>304</v>
      </c>
      <c r="B296" t="s">
        <v>984</v>
      </c>
      <c r="C296" t="s">
        <v>12</v>
      </c>
      <c r="D296" s="1">
        <v>44778</v>
      </c>
      <c r="E296">
        <v>216311633</v>
      </c>
      <c r="F296" s="1">
        <v>44800</v>
      </c>
      <c r="G296">
        <v>274</v>
      </c>
      <c r="H296">
        <v>651.21</v>
      </c>
      <c r="I296">
        <v>524.96</v>
      </c>
      <c r="J296">
        <v>178431.54</v>
      </c>
      <c r="K296">
        <v>143839.04000000001</v>
      </c>
    </row>
    <row r="297" spans="1:11" x14ac:dyDescent="0.35">
      <c r="A297" t="s">
        <v>305</v>
      </c>
      <c r="B297" t="s">
        <v>990</v>
      </c>
      <c r="C297" t="s">
        <v>14</v>
      </c>
      <c r="D297" s="1">
        <v>44141</v>
      </c>
      <c r="E297">
        <v>774712789</v>
      </c>
      <c r="F297" s="1">
        <v>44176</v>
      </c>
      <c r="G297">
        <v>3585</v>
      </c>
      <c r="H297">
        <v>668.27</v>
      </c>
      <c r="I297">
        <v>502.54</v>
      </c>
      <c r="J297">
        <v>2395747.9499999997</v>
      </c>
      <c r="K297">
        <v>1801605.9000000001</v>
      </c>
    </row>
    <row r="298" spans="1:11" x14ac:dyDescent="0.35">
      <c r="A298" t="s">
        <v>306</v>
      </c>
      <c r="B298" t="s">
        <v>976</v>
      </c>
      <c r="C298" t="s">
        <v>12</v>
      </c>
      <c r="D298" s="1">
        <v>44091</v>
      </c>
      <c r="E298">
        <v>956021964</v>
      </c>
      <c r="F298" s="1">
        <v>44112</v>
      </c>
      <c r="G298">
        <v>6999</v>
      </c>
      <c r="H298">
        <v>255.28</v>
      </c>
      <c r="I298">
        <v>159.41999999999999</v>
      </c>
      <c r="J298">
        <v>1786704.72</v>
      </c>
      <c r="K298">
        <v>1115780.5799999998</v>
      </c>
    </row>
    <row r="299" spans="1:11" x14ac:dyDescent="0.35">
      <c r="A299" t="s">
        <v>307</v>
      </c>
      <c r="B299" t="s">
        <v>980</v>
      </c>
      <c r="C299" t="s">
        <v>14</v>
      </c>
      <c r="D299" s="1">
        <v>43916</v>
      </c>
      <c r="E299">
        <v>349350488</v>
      </c>
      <c r="F299" s="1">
        <v>43940</v>
      </c>
      <c r="G299">
        <v>9428</v>
      </c>
      <c r="H299">
        <v>437.2</v>
      </c>
      <c r="I299">
        <v>263.33</v>
      </c>
      <c r="J299">
        <v>4121921.6</v>
      </c>
      <c r="K299">
        <v>2482675.2399999998</v>
      </c>
    </row>
    <row r="300" spans="1:11" x14ac:dyDescent="0.35">
      <c r="A300" t="s">
        <v>308</v>
      </c>
      <c r="B300" t="s">
        <v>980</v>
      </c>
      <c r="C300" t="s">
        <v>14</v>
      </c>
      <c r="D300" s="1">
        <v>44618</v>
      </c>
      <c r="E300">
        <v>414122188</v>
      </c>
      <c r="F300" s="1">
        <v>44643</v>
      </c>
      <c r="G300">
        <v>6813</v>
      </c>
      <c r="H300">
        <v>437.2</v>
      </c>
      <c r="I300">
        <v>263.33</v>
      </c>
      <c r="J300">
        <v>2978643.6</v>
      </c>
      <c r="K300">
        <v>1794067.2899999998</v>
      </c>
    </row>
    <row r="301" spans="1:11" x14ac:dyDescent="0.35">
      <c r="A301" t="s">
        <v>309</v>
      </c>
      <c r="B301" t="s">
        <v>990</v>
      </c>
      <c r="C301" t="s">
        <v>17</v>
      </c>
      <c r="D301" s="1">
        <v>44213</v>
      </c>
      <c r="E301">
        <v>430073392</v>
      </c>
      <c r="F301" s="1">
        <v>44232</v>
      </c>
      <c r="G301">
        <v>7129</v>
      </c>
      <c r="H301">
        <v>668.27</v>
      </c>
      <c r="I301">
        <v>502.54</v>
      </c>
      <c r="J301">
        <v>4764096.83</v>
      </c>
      <c r="K301">
        <v>3582607.66</v>
      </c>
    </row>
    <row r="302" spans="1:11" x14ac:dyDescent="0.35">
      <c r="A302" t="s">
        <v>310</v>
      </c>
      <c r="B302" t="s">
        <v>982</v>
      </c>
      <c r="C302" t="s">
        <v>19</v>
      </c>
      <c r="D302" s="1">
        <v>44518</v>
      </c>
      <c r="E302">
        <v>647252929</v>
      </c>
      <c r="F302" s="1">
        <v>44558</v>
      </c>
      <c r="G302">
        <v>5380</v>
      </c>
      <c r="H302">
        <v>81.73</v>
      </c>
      <c r="I302">
        <v>56.67</v>
      </c>
      <c r="J302">
        <v>439707.4</v>
      </c>
      <c r="K302">
        <v>304884.60000000003</v>
      </c>
    </row>
    <row r="303" spans="1:11" x14ac:dyDescent="0.35">
      <c r="A303" t="s">
        <v>311</v>
      </c>
      <c r="B303" t="s">
        <v>974</v>
      </c>
      <c r="C303" t="s">
        <v>14</v>
      </c>
      <c r="D303" s="1">
        <v>44367</v>
      </c>
      <c r="E303">
        <v>936022126</v>
      </c>
      <c r="F303" s="1">
        <v>44401</v>
      </c>
      <c r="G303">
        <v>8602</v>
      </c>
      <c r="H303">
        <v>9.33</v>
      </c>
      <c r="I303">
        <v>6.92</v>
      </c>
      <c r="J303">
        <v>80256.66</v>
      </c>
      <c r="K303">
        <v>59525.84</v>
      </c>
    </row>
    <row r="304" spans="1:11" x14ac:dyDescent="0.35">
      <c r="A304" t="s">
        <v>312</v>
      </c>
      <c r="B304" t="s">
        <v>984</v>
      </c>
      <c r="C304" t="s">
        <v>17</v>
      </c>
      <c r="D304" s="1">
        <v>44303</v>
      </c>
      <c r="E304">
        <v>337054812</v>
      </c>
      <c r="F304" s="1">
        <v>44340</v>
      </c>
      <c r="G304">
        <v>864</v>
      </c>
      <c r="H304">
        <v>651.21</v>
      </c>
      <c r="I304">
        <v>524.96</v>
      </c>
      <c r="J304">
        <v>562645.44000000006</v>
      </c>
      <c r="K304">
        <v>453565.44000000006</v>
      </c>
    </row>
    <row r="305" spans="1:11" x14ac:dyDescent="0.35">
      <c r="A305" t="s">
        <v>313</v>
      </c>
      <c r="B305" t="s">
        <v>970</v>
      </c>
      <c r="C305" t="s">
        <v>12</v>
      </c>
      <c r="D305" s="1">
        <v>43975</v>
      </c>
      <c r="E305">
        <v>211337316</v>
      </c>
      <c r="F305" s="1">
        <v>44020</v>
      </c>
      <c r="G305">
        <v>8263</v>
      </c>
      <c r="H305">
        <v>421.89</v>
      </c>
      <c r="I305">
        <v>364.69</v>
      </c>
      <c r="J305">
        <v>3486077.07</v>
      </c>
      <c r="K305">
        <v>3013433.47</v>
      </c>
    </row>
    <row r="306" spans="1:11" x14ac:dyDescent="0.35">
      <c r="A306" t="s">
        <v>314</v>
      </c>
      <c r="B306" t="s">
        <v>968</v>
      </c>
      <c r="C306" t="s">
        <v>19</v>
      </c>
      <c r="D306" s="1">
        <v>44742</v>
      </c>
      <c r="E306">
        <v>190168464</v>
      </c>
      <c r="F306" s="1">
        <v>44788</v>
      </c>
      <c r="G306">
        <v>3929</v>
      </c>
      <c r="H306">
        <v>152.58000000000001</v>
      </c>
      <c r="I306">
        <v>97.44</v>
      </c>
      <c r="J306">
        <v>599486.82000000007</v>
      </c>
      <c r="K306">
        <v>382841.76</v>
      </c>
    </row>
    <row r="307" spans="1:11" x14ac:dyDescent="0.35">
      <c r="A307" t="s">
        <v>315</v>
      </c>
      <c r="B307" t="s">
        <v>988</v>
      </c>
      <c r="C307" t="s">
        <v>19</v>
      </c>
      <c r="D307" s="1">
        <v>43937</v>
      </c>
      <c r="E307">
        <v>425159585</v>
      </c>
      <c r="F307" s="1">
        <v>43977</v>
      </c>
      <c r="G307">
        <v>3024</v>
      </c>
      <c r="H307">
        <v>109.28</v>
      </c>
      <c r="I307">
        <v>35.840000000000003</v>
      </c>
      <c r="J307">
        <v>330462.72000000003</v>
      </c>
      <c r="K307">
        <v>108380.16</v>
      </c>
    </row>
    <row r="308" spans="1:11" x14ac:dyDescent="0.35">
      <c r="A308" t="s">
        <v>316</v>
      </c>
      <c r="B308" t="s">
        <v>970</v>
      </c>
      <c r="C308" t="s">
        <v>17</v>
      </c>
      <c r="D308" s="1">
        <v>44780</v>
      </c>
      <c r="E308">
        <v>238234508</v>
      </c>
      <c r="F308" s="1">
        <v>44794</v>
      </c>
      <c r="G308">
        <v>7740</v>
      </c>
      <c r="H308">
        <v>421.89</v>
      </c>
      <c r="I308">
        <v>364.69</v>
      </c>
      <c r="J308">
        <v>3265428.6</v>
      </c>
      <c r="K308">
        <v>2822700.6</v>
      </c>
    </row>
    <row r="309" spans="1:11" x14ac:dyDescent="0.35">
      <c r="A309" t="s">
        <v>317</v>
      </c>
      <c r="B309" t="s">
        <v>980</v>
      </c>
      <c r="C309" t="s">
        <v>14</v>
      </c>
      <c r="D309" s="1">
        <v>44373</v>
      </c>
      <c r="E309">
        <v>371629559</v>
      </c>
      <c r="F309" s="1">
        <v>44393</v>
      </c>
      <c r="G309">
        <v>2300</v>
      </c>
      <c r="H309">
        <v>437.2</v>
      </c>
      <c r="I309">
        <v>263.33</v>
      </c>
      <c r="J309">
        <v>1005560</v>
      </c>
      <c r="K309">
        <v>605659</v>
      </c>
    </row>
    <row r="310" spans="1:11" x14ac:dyDescent="0.35">
      <c r="A310" t="s">
        <v>318</v>
      </c>
      <c r="B310" t="s">
        <v>976</v>
      </c>
      <c r="C310" t="s">
        <v>17</v>
      </c>
      <c r="D310" s="1">
        <v>44664</v>
      </c>
      <c r="E310">
        <v>737893569</v>
      </c>
      <c r="F310" s="1">
        <v>44711</v>
      </c>
      <c r="G310">
        <v>7960</v>
      </c>
      <c r="H310">
        <v>255.28</v>
      </c>
      <c r="I310">
        <v>159.41999999999999</v>
      </c>
      <c r="J310">
        <v>2032028.8</v>
      </c>
      <c r="K310">
        <v>1268983.2</v>
      </c>
    </row>
    <row r="311" spans="1:11" x14ac:dyDescent="0.35">
      <c r="A311" t="s">
        <v>319</v>
      </c>
      <c r="B311" t="s">
        <v>988</v>
      </c>
      <c r="C311" t="s">
        <v>12</v>
      </c>
      <c r="D311" s="1">
        <v>44617</v>
      </c>
      <c r="E311">
        <v>869887864</v>
      </c>
      <c r="F311" s="1">
        <v>44666</v>
      </c>
      <c r="G311">
        <v>8005</v>
      </c>
      <c r="H311">
        <v>109.28</v>
      </c>
      <c r="I311">
        <v>35.840000000000003</v>
      </c>
      <c r="J311">
        <v>874786.4</v>
      </c>
      <c r="K311">
        <v>286899.20000000001</v>
      </c>
    </row>
    <row r="312" spans="1:11" x14ac:dyDescent="0.35">
      <c r="A312" t="s">
        <v>320</v>
      </c>
      <c r="B312" t="s">
        <v>982</v>
      </c>
      <c r="C312" t="s">
        <v>14</v>
      </c>
      <c r="D312" s="1">
        <v>43862</v>
      </c>
      <c r="E312">
        <v>370786273</v>
      </c>
      <c r="F312" s="1">
        <v>43877</v>
      </c>
      <c r="G312">
        <v>2753</v>
      </c>
      <c r="H312">
        <v>81.73</v>
      </c>
      <c r="I312">
        <v>56.67</v>
      </c>
      <c r="J312">
        <v>225002.69</v>
      </c>
      <c r="K312">
        <v>156012.51</v>
      </c>
    </row>
    <row r="313" spans="1:11" x14ac:dyDescent="0.35">
      <c r="A313" t="s">
        <v>321</v>
      </c>
      <c r="B313" t="s">
        <v>972</v>
      </c>
      <c r="C313" t="s">
        <v>14</v>
      </c>
      <c r="D313" s="1">
        <v>44265</v>
      </c>
      <c r="E313">
        <v>264075124</v>
      </c>
      <c r="F313" s="1">
        <v>44266</v>
      </c>
      <c r="G313">
        <v>4552</v>
      </c>
      <c r="H313">
        <v>205.7</v>
      </c>
      <c r="I313">
        <v>117.11</v>
      </c>
      <c r="J313">
        <v>936346.39999999991</v>
      </c>
      <c r="K313">
        <v>533084.72</v>
      </c>
    </row>
    <row r="314" spans="1:11" x14ac:dyDescent="0.35">
      <c r="A314" t="s">
        <v>322</v>
      </c>
      <c r="B314" t="s">
        <v>974</v>
      </c>
      <c r="C314" t="s">
        <v>17</v>
      </c>
      <c r="D314" s="1">
        <v>44187</v>
      </c>
      <c r="E314">
        <v>743553245</v>
      </c>
      <c r="F314" s="1">
        <v>44187</v>
      </c>
      <c r="G314">
        <v>2783</v>
      </c>
      <c r="H314">
        <v>9.33</v>
      </c>
      <c r="I314">
        <v>6.92</v>
      </c>
      <c r="J314">
        <v>25965.39</v>
      </c>
      <c r="K314">
        <v>19258.36</v>
      </c>
    </row>
    <row r="315" spans="1:11" x14ac:dyDescent="0.35">
      <c r="A315" t="s">
        <v>323</v>
      </c>
      <c r="B315" t="s">
        <v>982</v>
      </c>
      <c r="C315" t="s">
        <v>12</v>
      </c>
      <c r="D315" s="1">
        <v>44220</v>
      </c>
      <c r="E315">
        <v>723331964</v>
      </c>
      <c r="F315" s="1">
        <v>44238</v>
      </c>
      <c r="G315">
        <v>8857</v>
      </c>
      <c r="H315">
        <v>81.73</v>
      </c>
      <c r="I315">
        <v>56.67</v>
      </c>
      <c r="J315">
        <v>723882.61</v>
      </c>
      <c r="K315">
        <v>501926.19</v>
      </c>
    </row>
    <row r="316" spans="1:11" x14ac:dyDescent="0.35">
      <c r="A316" t="s">
        <v>324</v>
      </c>
      <c r="B316" t="s">
        <v>968</v>
      </c>
      <c r="C316" t="s">
        <v>19</v>
      </c>
      <c r="D316" s="1">
        <v>44584</v>
      </c>
      <c r="E316">
        <v>987835109</v>
      </c>
      <c r="F316" s="1">
        <v>44633</v>
      </c>
      <c r="G316">
        <v>1215</v>
      </c>
      <c r="H316">
        <v>152.58000000000001</v>
      </c>
      <c r="I316">
        <v>97.44</v>
      </c>
      <c r="J316">
        <v>185384.7</v>
      </c>
      <c r="K316">
        <v>118389.59999999999</v>
      </c>
    </row>
    <row r="317" spans="1:11" x14ac:dyDescent="0.35">
      <c r="A317" t="s">
        <v>325</v>
      </c>
      <c r="B317" t="s">
        <v>984</v>
      </c>
      <c r="C317" t="s">
        <v>14</v>
      </c>
      <c r="D317" s="1">
        <v>44599</v>
      </c>
      <c r="E317">
        <v>141799008</v>
      </c>
      <c r="F317" s="1">
        <v>44648</v>
      </c>
      <c r="G317">
        <v>333</v>
      </c>
      <c r="H317">
        <v>651.21</v>
      </c>
      <c r="I317">
        <v>524.96</v>
      </c>
      <c r="J317">
        <v>216852.93000000002</v>
      </c>
      <c r="K317">
        <v>174811.68000000002</v>
      </c>
    </row>
    <row r="318" spans="1:11" x14ac:dyDescent="0.35">
      <c r="A318" t="s">
        <v>326</v>
      </c>
      <c r="B318" t="s">
        <v>968</v>
      </c>
      <c r="C318" t="s">
        <v>14</v>
      </c>
      <c r="D318" s="1">
        <v>44256</v>
      </c>
      <c r="E318">
        <v>460272490</v>
      </c>
      <c r="F318" s="1">
        <v>44271</v>
      </c>
      <c r="G318">
        <v>3713</v>
      </c>
      <c r="H318">
        <v>152.58000000000001</v>
      </c>
      <c r="I318">
        <v>97.44</v>
      </c>
      <c r="J318">
        <v>566529.54</v>
      </c>
      <c r="K318">
        <v>361794.72</v>
      </c>
    </row>
    <row r="319" spans="1:11" x14ac:dyDescent="0.35">
      <c r="A319" t="s">
        <v>327</v>
      </c>
      <c r="B319" t="s">
        <v>984</v>
      </c>
      <c r="C319" t="s">
        <v>19</v>
      </c>
      <c r="D319" s="1">
        <v>44737</v>
      </c>
      <c r="E319">
        <v>238616883</v>
      </c>
      <c r="F319" s="1">
        <v>44744</v>
      </c>
      <c r="G319">
        <v>893</v>
      </c>
      <c r="H319">
        <v>651.21</v>
      </c>
      <c r="I319">
        <v>524.96</v>
      </c>
      <c r="J319">
        <v>581530.53</v>
      </c>
      <c r="K319">
        <v>468789.28</v>
      </c>
    </row>
    <row r="320" spans="1:11" x14ac:dyDescent="0.35">
      <c r="A320" t="s">
        <v>328</v>
      </c>
      <c r="B320" t="s">
        <v>982</v>
      </c>
      <c r="C320" t="s">
        <v>14</v>
      </c>
      <c r="D320" s="1">
        <v>44759</v>
      </c>
      <c r="E320">
        <v>542506015</v>
      </c>
      <c r="F320" s="1">
        <v>44780</v>
      </c>
      <c r="G320">
        <v>8440</v>
      </c>
      <c r="H320">
        <v>81.73</v>
      </c>
      <c r="I320">
        <v>56.67</v>
      </c>
      <c r="J320">
        <v>689801.20000000007</v>
      </c>
      <c r="K320">
        <v>478294.8</v>
      </c>
    </row>
    <row r="321" spans="1:11" x14ac:dyDescent="0.35">
      <c r="A321" t="s">
        <v>329</v>
      </c>
      <c r="B321" t="s">
        <v>986</v>
      </c>
      <c r="C321" t="s">
        <v>14</v>
      </c>
      <c r="D321" s="1">
        <v>44231</v>
      </c>
      <c r="E321">
        <v>257926213</v>
      </c>
      <c r="F321" s="1">
        <v>44250</v>
      </c>
      <c r="G321">
        <v>4953</v>
      </c>
      <c r="H321">
        <v>154.06</v>
      </c>
      <c r="I321">
        <v>90.93</v>
      </c>
      <c r="J321">
        <v>763059.18</v>
      </c>
      <c r="K321">
        <v>450376.29000000004</v>
      </c>
    </row>
    <row r="322" spans="1:11" x14ac:dyDescent="0.35">
      <c r="A322" t="s">
        <v>330</v>
      </c>
      <c r="B322" t="s">
        <v>976</v>
      </c>
      <c r="C322" t="s">
        <v>19</v>
      </c>
      <c r="D322" s="1">
        <v>44775</v>
      </c>
      <c r="E322">
        <v>141176307</v>
      </c>
      <c r="F322" s="1">
        <v>44824</v>
      </c>
      <c r="G322">
        <v>6061</v>
      </c>
      <c r="H322">
        <v>255.28</v>
      </c>
      <c r="I322">
        <v>159.41999999999999</v>
      </c>
      <c r="J322">
        <v>1547252.08</v>
      </c>
      <c r="K322">
        <v>966244.61999999988</v>
      </c>
    </row>
    <row r="323" spans="1:11" x14ac:dyDescent="0.35">
      <c r="A323" t="s">
        <v>331</v>
      </c>
      <c r="B323" t="s">
        <v>970</v>
      </c>
      <c r="C323" t="s">
        <v>19</v>
      </c>
      <c r="D323" s="1">
        <v>43982</v>
      </c>
      <c r="E323">
        <v>568867623</v>
      </c>
      <c r="F323" s="1">
        <v>44004</v>
      </c>
      <c r="G323">
        <v>9426</v>
      </c>
      <c r="H323">
        <v>421.89</v>
      </c>
      <c r="I323">
        <v>364.69</v>
      </c>
      <c r="J323">
        <v>3976735.1399999997</v>
      </c>
      <c r="K323">
        <v>3437567.94</v>
      </c>
    </row>
    <row r="324" spans="1:11" x14ac:dyDescent="0.35">
      <c r="A324" t="s">
        <v>332</v>
      </c>
      <c r="B324" t="s">
        <v>978</v>
      </c>
      <c r="C324" t="s">
        <v>19</v>
      </c>
      <c r="D324" s="1">
        <v>44291</v>
      </c>
      <c r="E324">
        <v>187923991</v>
      </c>
      <c r="F324" s="1">
        <v>44333</v>
      </c>
      <c r="G324">
        <v>9740</v>
      </c>
      <c r="H324">
        <v>47.45</v>
      </c>
      <c r="I324">
        <v>31.79</v>
      </c>
      <c r="J324">
        <v>462163</v>
      </c>
      <c r="K324">
        <v>309634.59999999998</v>
      </c>
    </row>
    <row r="325" spans="1:11" x14ac:dyDescent="0.35">
      <c r="A325" t="s">
        <v>333</v>
      </c>
      <c r="B325" t="s">
        <v>972</v>
      </c>
      <c r="C325" t="s">
        <v>14</v>
      </c>
      <c r="D325" s="1">
        <v>44108</v>
      </c>
      <c r="E325">
        <v>865581738</v>
      </c>
      <c r="F325" s="1">
        <v>44127</v>
      </c>
      <c r="G325">
        <v>3726</v>
      </c>
      <c r="H325">
        <v>205.7</v>
      </c>
      <c r="I325">
        <v>117.11</v>
      </c>
      <c r="J325">
        <v>766438.2</v>
      </c>
      <c r="K325">
        <v>436351.86</v>
      </c>
    </row>
    <row r="326" spans="1:11" x14ac:dyDescent="0.35">
      <c r="A326" t="s">
        <v>334</v>
      </c>
      <c r="B326" t="s">
        <v>978</v>
      </c>
      <c r="C326" t="s">
        <v>14</v>
      </c>
      <c r="D326" s="1">
        <v>44600</v>
      </c>
      <c r="E326">
        <v>939389693</v>
      </c>
      <c r="F326" s="1">
        <v>44607</v>
      </c>
      <c r="G326">
        <v>5140</v>
      </c>
      <c r="H326">
        <v>47.45</v>
      </c>
      <c r="I326">
        <v>31.79</v>
      </c>
      <c r="J326">
        <v>243893.00000000003</v>
      </c>
      <c r="K326">
        <v>163400.6</v>
      </c>
    </row>
    <row r="327" spans="1:11" x14ac:dyDescent="0.35">
      <c r="A327" t="s">
        <v>335</v>
      </c>
      <c r="B327" t="s">
        <v>976</v>
      </c>
      <c r="C327" t="s">
        <v>12</v>
      </c>
      <c r="D327" s="1">
        <v>43945</v>
      </c>
      <c r="E327">
        <v>167209184</v>
      </c>
      <c r="F327" s="1">
        <v>43967</v>
      </c>
      <c r="G327">
        <v>9768</v>
      </c>
      <c r="H327">
        <v>255.28</v>
      </c>
      <c r="I327">
        <v>159.41999999999999</v>
      </c>
      <c r="J327">
        <v>2493575.04</v>
      </c>
      <c r="K327">
        <v>1557214.5599999998</v>
      </c>
    </row>
    <row r="328" spans="1:11" x14ac:dyDescent="0.35">
      <c r="A328" t="s">
        <v>336</v>
      </c>
      <c r="B328" t="s">
        <v>980</v>
      </c>
      <c r="C328" t="s">
        <v>19</v>
      </c>
      <c r="D328" s="1">
        <v>44124</v>
      </c>
      <c r="E328">
        <v>177214038</v>
      </c>
      <c r="F328" s="1">
        <v>44141</v>
      </c>
      <c r="G328">
        <v>427</v>
      </c>
      <c r="H328">
        <v>437.2</v>
      </c>
      <c r="I328">
        <v>263.33</v>
      </c>
      <c r="J328">
        <v>186684.4</v>
      </c>
      <c r="K328">
        <v>112441.90999999999</v>
      </c>
    </row>
    <row r="329" spans="1:11" x14ac:dyDescent="0.35">
      <c r="A329" t="s">
        <v>337</v>
      </c>
      <c r="B329" t="s">
        <v>968</v>
      </c>
      <c r="C329" t="s">
        <v>14</v>
      </c>
      <c r="D329" s="1">
        <v>44133</v>
      </c>
      <c r="E329">
        <v>417890584</v>
      </c>
      <c r="F329" s="1">
        <v>44141</v>
      </c>
      <c r="G329">
        <v>1965</v>
      </c>
      <c r="H329">
        <v>152.58000000000001</v>
      </c>
      <c r="I329">
        <v>97.44</v>
      </c>
      <c r="J329">
        <v>299819.7</v>
      </c>
      <c r="K329">
        <v>191469.6</v>
      </c>
    </row>
    <row r="330" spans="1:11" x14ac:dyDescent="0.35">
      <c r="A330" t="s">
        <v>338</v>
      </c>
      <c r="B330" t="s">
        <v>988</v>
      </c>
      <c r="C330" t="s">
        <v>17</v>
      </c>
      <c r="D330" s="1">
        <v>44678</v>
      </c>
      <c r="E330">
        <v>408037650</v>
      </c>
      <c r="F330" s="1">
        <v>44678</v>
      </c>
      <c r="G330">
        <v>6263</v>
      </c>
      <c r="H330">
        <v>109.28</v>
      </c>
      <c r="I330">
        <v>35.840000000000003</v>
      </c>
      <c r="J330">
        <v>684420.64</v>
      </c>
      <c r="K330">
        <v>224465.92000000001</v>
      </c>
    </row>
    <row r="331" spans="1:11" x14ac:dyDescent="0.35">
      <c r="A331" t="s">
        <v>339</v>
      </c>
      <c r="B331" t="s">
        <v>980</v>
      </c>
      <c r="C331" t="s">
        <v>14</v>
      </c>
      <c r="D331" s="1">
        <v>44528</v>
      </c>
      <c r="E331">
        <v>186766564</v>
      </c>
      <c r="F331" s="1">
        <v>44542</v>
      </c>
      <c r="G331">
        <v>7232</v>
      </c>
      <c r="H331">
        <v>437.2</v>
      </c>
      <c r="I331">
        <v>263.33</v>
      </c>
      <c r="J331">
        <v>3161830.4</v>
      </c>
      <c r="K331">
        <v>1904402.5599999998</v>
      </c>
    </row>
    <row r="332" spans="1:11" x14ac:dyDescent="0.35">
      <c r="A332" t="s">
        <v>340</v>
      </c>
      <c r="B332" t="s">
        <v>970</v>
      </c>
      <c r="C332" t="s">
        <v>14</v>
      </c>
      <c r="D332" s="1">
        <v>44162</v>
      </c>
      <c r="E332">
        <v>763501155</v>
      </c>
      <c r="F332" s="1">
        <v>44167</v>
      </c>
      <c r="G332">
        <v>5813</v>
      </c>
      <c r="H332">
        <v>421.89</v>
      </c>
      <c r="I332">
        <v>364.69</v>
      </c>
      <c r="J332">
        <v>2452446.5699999998</v>
      </c>
      <c r="K332">
        <v>2119942.9700000002</v>
      </c>
    </row>
    <row r="333" spans="1:11" x14ac:dyDescent="0.35">
      <c r="A333" t="s">
        <v>341</v>
      </c>
      <c r="B333" t="s">
        <v>978</v>
      </c>
      <c r="C333" t="s">
        <v>19</v>
      </c>
      <c r="D333" s="1">
        <v>44206</v>
      </c>
      <c r="E333">
        <v>967977750</v>
      </c>
      <c r="F333" s="1">
        <v>44249</v>
      </c>
      <c r="G333">
        <v>4982</v>
      </c>
      <c r="H333">
        <v>47.45</v>
      </c>
      <c r="I333">
        <v>31.79</v>
      </c>
      <c r="J333">
        <v>236395.90000000002</v>
      </c>
      <c r="K333">
        <v>158377.78</v>
      </c>
    </row>
    <row r="334" spans="1:11" x14ac:dyDescent="0.35">
      <c r="A334" t="s">
        <v>342</v>
      </c>
      <c r="B334" t="s">
        <v>968</v>
      </c>
      <c r="C334" t="s">
        <v>12</v>
      </c>
      <c r="D334" s="1">
        <v>43868</v>
      </c>
      <c r="E334">
        <v>600245177</v>
      </c>
      <c r="F334" s="1">
        <v>43904</v>
      </c>
      <c r="G334">
        <v>4742</v>
      </c>
      <c r="H334">
        <v>152.58000000000001</v>
      </c>
      <c r="I334">
        <v>97.44</v>
      </c>
      <c r="J334">
        <v>723534.3600000001</v>
      </c>
      <c r="K334">
        <v>462060.48</v>
      </c>
    </row>
    <row r="335" spans="1:11" x14ac:dyDescent="0.35">
      <c r="A335" t="s">
        <v>343</v>
      </c>
      <c r="B335" t="s">
        <v>980</v>
      </c>
      <c r="C335" t="s">
        <v>17</v>
      </c>
      <c r="D335" s="1">
        <v>44589</v>
      </c>
      <c r="E335">
        <v>880664765</v>
      </c>
      <c r="F335" s="1">
        <v>44595</v>
      </c>
      <c r="G335">
        <v>7129</v>
      </c>
      <c r="H335">
        <v>437.2</v>
      </c>
      <c r="I335">
        <v>263.33</v>
      </c>
      <c r="J335">
        <v>3116798.8</v>
      </c>
      <c r="K335">
        <v>1877279.5699999998</v>
      </c>
    </row>
    <row r="336" spans="1:11" x14ac:dyDescent="0.35">
      <c r="A336" t="s">
        <v>344</v>
      </c>
      <c r="B336" t="s">
        <v>972</v>
      </c>
      <c r="C336" t="s">
        <v>19</v>
      </c>
      <c r="D336" s="1">
        <v>44306</v>
      </c>
      <c r="E336">
        <v>399910342</v>
      </c>
      <c r="F336" s="1">
        <v>44320</v>
      </c>
      <c r="G336">
        <v>1212</v>
      </c>
      <c r="H336">
        <v>205.7</v>
      </c>
      <c r="I336">
        <v>117.11</v>
      </c>
      <c r="J336">
        <v>249308.4</v>
      </c>
      <c r="K336">
        <v>141937.32</v>
      </c>
    </row>
    <row r="337" spans="1:11" x14ac:dyDescent="0.35">
      <c r="A337" t="s">
        <v>345</v>
      </c>
      <c r="B337" t="s">
        <v>970</v>
      </c>
      <c r="C337" t="s">
        <v>19</v>
      </c>
      <c r="D337" s="1">
        <v>44231</v>
      </c>
      <c r="E337">
        <v>968968236</v>
      </c>
      <c r="F337" s="1">
        <v>44263</v>
      </c>
      <c r="G337">
        <v>8088</v>
      </c>
      <c r="H337">
        <v>421.89</v>
      </c>
      <c r="I337">
        <v>364.69</v>
      </c>
      <c r="J337">
        <v>3412246.32</v>
      </c>
      <c r="K337">
        <v>2949612.72</v>
      </c>
    </row>
    <row r="338" spans="1:11" x14ac:dyDescent="0.35">
      <c r="A338" t="s">
        <v>346</v>
      </c>
      <c r="B338" t="s">
        <v>986</v>
      </c>
      <c r="C338" t="s">
        <v>17</v>
      </c>
      <c r="D338" s="1">
        <v>44159</v>
      </c>
      <c r="E338">
        <v>869137275</v>
      </c>
      <c r="F338" s="1">
        <v>44180</v>
      </c>
      <c r="G338">
        <v>5889</v>
      </c>
      <c r="H338">
        <v>154.06</v>
      </c>
      <c r="I338">
        <v>90.93</v>
      </c>
      <c r="J338">
        <v>907259.34</v>
      </c>
      <c r="K338">
        <v>535486.77</v>
      </c>
    </row>
    <row r="339" spans="1:11" x14ac:dyDescent="0.35">
      <c r="A339" t="s">
        <v>347</v>
      </c>
      <c r="B339" t="s">
        <v>986</v>
      </c>
      <c r="C339" t="s">
        <v>12</v>
      </c>
      <c r="D339" s="1">
        <v>44031</v>
      </c>
      <c r="E339">
        <v>702028787</v>
      </c>
      <c r="F339" s="1">
        <v>44037</v>
      </c>
      <c r="G339">
        <v>4773</v>
      </c>
      <c r="H339">
        <v>154.06</v>
      </c>
      <c r="I339">
        <v>90.93</v>
      </c>
      <c r="J339">
        <v>735328.38</v>
      </c>
      <c r="K339">
        <v>434008.89</v>
      </c>
    </row>
    <row r="340" spans="1:11" x14ac:dyDescent="0.35">
      <c r="A340" t="s">
        <v>348</v>
      </c>
      <c r="B340" t="s">
        <v>974</v>
      </c>
      <c r="C340" t="s">
        <v>17</v>
      </c>
      <c r="D340" s="1">
        <v>44458</v>
      </c>
      <c r="E340">
        <v>239566600</v>
      </c>
      <c r="F340" s="1">
        <v>44459</v>
      </c>
      <c r="G340">
        <v>1935</v>
      </c>
      <c r="H340">
        <v>9.33</v>
      </c>
      <c r="I340">
        <v>6.92</v>
      </c>
      <c r="J340">
        <v>18053.55</v>
      </c>
      <c r="K340">
        <v>13390.2</v>
      </c>
    </row>
    <row r="341" spans="1:11" x14ac:dyDescent="0.35">
      <c r="A341" t="s">
        <v>349</v>
      </c>
      <c r="B341" t="s">
        <v>988</v>
      </c>
      <c r="C341" t="s">
        <v>12</v>
      </c>
      <c r="D341" s="1">
        <v>44109</v>
      </c>
      <c r="E341">
        <v>673987042</v>
      </c>
      <c r="F341" s="1">
        <v>44142</v>
      </c>
      <c r="G341">
        <v>6598</v>
      </c>
      <c r="H341">
        <v>109.28</v>
      </c>
      <c r="I341">
        <v>35.840000000000003</v>
      </c>
      <c r="J341">
        <v>721029.44000000006</v>
      </c>
      <c r="K341">
        <v>236472.32000000004</v>
      </c>
    </row>
    <row r="342" spans="1:11" x14ac:dyDescent="0.35">
      <c r="A342" t="s">
        <v>350</v>
      </c>
      <c r="B342" t="s">
        <v>970</v>
      </c>
      <c r="C342" t="s">
        <v>19</v>
      </c>
      <c r="D342" s="1">
        <v>44409</v>
      </c>
      <c r="E342">
        <v>567838943</v>
      </c>
      <c r="F342" s="1">
        <v>44422</v>
      </c>
      <c r="G342">
        <v>5017</v>
      </c>
      <c r="H342">
        <v>421.89</v>
      </c>
      <c r="I342">
        <v>364.69</v>
      </c>
      <c r="J342">
        <v>2116622.13</v>
      </c>
      <c r="K342">
        <v>1829649.73</v>
      </c>
    </row>
    <row r="343" spans="1:11" x14ac:dyDescent="0.35">
      <c r="A343" t="s">
        <v>351</v>
      </c>
      <c r="B343" t="s">
        <v>988</v>
      </c>
      <c r="C343" t="s">
        <v>12</v>
      </c>
      <c r="D343" s="1">
        <v>44843</v>
      </c>
      <c r="E343">
        <v>803983628</v>
      </c>
      <c r="F343" s="1">
        <v>44866</v>
      </c>
      <c r="G343">
        <v>5477</v>
      </c>
      <c r="H343">
        <v>109.28</v>
      </c>
      <c r="I343">
        <v>35.840000000000003</v>
      </c>
      <c r="J343">
        <v>598526.56000000006</v>
      </c>
      <c r="K343">
        <v>196295.68000000002</v>
      </c>
    </row>
    <row r="344" spans="1:11" x14ac:dyDescent="0.35">
      <c r="A344" t="s">
        <v>352</v>
      </c>
      <c r="B344" t="s">
        <v>980</v>
      </c>
      <c r="C344" t="s">
        <v>19</v>
      </c>
      <c r="D344" s="1">
        <v>44521</v>
      </c>
      <c r="E344">
        <v>535594928</v>
      </c>
      <c r="F344" s="1">
        <v>44547</v>
      </c>
      <c r="G344">
        <v>3296</v>
      </c>
      <c r="H344">
        <v>437.2</v>
      </c>
      <c r="I344">
        <v>263.33</v>
      </c>
      <c r="J344">
        <v>1441011.2</v>
      </c>
      <c r="K344">
        <v>867935.67999999993</v>
      </c>
    </row>
    <row r="345" spans="1:11" x14ac:dyDescent="0.35">
      <c r="A345" t="s">
        <v>353</v>
      </c>
      <c r="B345" t="s">
        <v>976</v>
      </c>
      <c r="C345" t="s">
        <v>19</v>
      </c>
      <c r="D345" s="1">
        <v>44787</v>
      </c>
      <c r="E345">
        <v>336159169</v>
      </c>
      <c r="F345" s="1">
        <v>44790</v>
      </c>
      <c r="G345">
        <v>5823</v>
      </c>
      <c r="H345">
        <v>255.28</v>
      </c>
      <c r="I345">
        <v>159.41999999999999</v>
      </c>
      <c r="J345">
        <v>1486495.44</v>
      </c>
      <c r="K345">
        <v>928302.65999999992</v>
      </c>
    </row>
    <row r="346" spans="1:11" x14ac:dyDescent="0.35">
      <c r="A346" t="s">
        <v>354</v>
      </c>
      <c r="B346" t="s">
        <v>970</v>
      </c>
      <c r="C346" t="s">
        <v>12</v>
      </c>
      <c r="D346" s="1">
        <v>44521</v>
      </c>
      <c r="E346">
        <v>849475181</v>
      </c>
      <c r="F346" s="1">
        <v>44542</v>
      </c>
      <c r="G346">
        <v>7438</v>
      </c>
      <c r="H346">
        <v>421.89</v>
      </c>
      <c r="I346">
        <v>364.69</v>
      </c>
      <c r="J346">
        <v>3138017.82</v>
      </c>
      <c r="K346">
        <v>2712564.22</v>
      </c>
    </row>
    <row r="347" spans="1:11" x14ac:dyDescent="0.35">
      <c r="A347" t="s">
        <v>355</v>
      </c>
      <c r="B347" t="s">
        <v>988</v>
      </c>
      <c r="C347" t="s">
        <v>19</v>
      </c>
      <c r="D347" s="1">
        <v>44840</v>
      </c>
      <c r="E347">
        <v>539654290</v>
      </c>
      <c r="F347" s="1">
        <v>44852</v>
      </c>
      <c r="G347">
        <v>4552</v>
      </c>
      <c r="H347">
        <v>109.28</v>
      </c>
      <c r="I347">
        <v>35.840000000000003</v>
      </c>
      <c r="J347">
        <v>497442.56</v>
      </c>
      <c r="K347">
        <v>163143.68000000002</v>
      </c>
    </row>
    <row r="348" spans="1:11" x14ac:dyDescent="0.35">
      <c r="A348" t="s">
        <v>356</v>
      </c>
      <c r="B348" t="s">
        <v>972</v>
      </c>
      <c r="C348" t="s">
        <v>14</v>
      </c>
      <c r="D348" s="1">
        <v>44397</v>
      </c>
      <c r="E348">
        <v>641120326</v>
      </c>
      <c r="F348" s="1">
        <v>44442</v>
      </c>
      <c r="G348">
        <v>606</v>
      </c>
      <c r="H348">
        <v>205.7</v>
      </c>
      <c r="I348">
        <v>117.11</v>
      </c>
      <c r="J348">
        <v>124654.2</v>
      </c>
      <c r="K348">
        <v>70968.66</v>
      </c>
    </row>
    <row r="349" spans="1:11" x14ac:dyDescent="0.35">
      <c r="A349" t="s">
        <v>357</v>
      </c>
      <c r="B349" t="s">
        <v>986</v>
      </c>
      <c r="C349" t="s">
        <v>12</v>
      </c>
      <c r="D349" s="1">
        <v>44078</v>
      </c>
      <c r="E349">
        <v>208609616</v>
      </c>
      <c r="F349" s="1">
        <v>44079</v>
      </c>
      <c r="G349">
        <v>1076</v>
      </c>
      <c r="H349">
        <v>154.06</v>
      </c>
      <c r="I349">
        <v>90.93</v>
      </c>
      <c r="J349">
        <v>165768.56</v>
      </c>
      <c r="K349">
        <v>97840.680000000008</v>
      </c>
    </row>
    <row r="350" spans="1:11" x14ac:dyDescent="0.35">
      <c r="A350" t="s">
        <v>358</v>
      </c>
      <c r="B350" t="s">
        <v>970</v>
      </c>
      <c r="C350" t="s">
        <v>14</v>
      </c>
      <c r="D350" s="1">
        <v>44397</v>
      </c>
      <c r="E350">
        <v>167170989</v>
      </c>
      <c r="F350" s="1">
        <v>44399</v>
      </c>
      <c r="G350">
        <v>8465</v>
      </c>
      <c r="H350">
        <v>421.89</v>
      </c>
      <c r="I350">
        <v>364.69</v>
      </c>
      <c r="J350">
        <v>3571298.85</v>
      </c>
      <c r="K350">
        <v>3087100.85</v>
      </c>
    </row>
    <row r="351" spans="1:11" x14ac:dyDescent="0.35">
      <c r="A351" t="s">
        <v>359</v>
      </c>
      <c r="B351" t="s">
        <v>970</v>
      </c>
      <c r="C351" t="s">
        <v>12</v>
      </c>
      <c r="D351" s="1">
        <v>43924</v>
      </c>
      <c r="E351">
        <v>162165772</v>
      </c>
      <c r="F351" s="1">
        <v>43957</v>
      </c>
      <c r="G351">
        <v>7311</v>
      </c>
      <c r="H351">
        <v>421.89</v>
      </c>
      <c r="I351">
        <v>364.69</v>
      </c>
      <c r="J351">
        <v>3084437.79</v>
      </c>
      <c r="K351">
        <v>2666248.59</v>
      </c>
    </row>
    <row r="352" spans="1:11" x14ac:dyDescent="0.35">
      <c r="A352" t="s">
        <v>360</v>
      </c>
      <c r="B352" t="s">
        <v>980</v>
      </c>
      <c r="C352" t="s">
        <v>12</v>
      </c>
      <c r="D352" s="1">
        <v>43987</v>
      </c>
      <c r="E352">
        <v>809267795</v>
      </c>
      <c r="F352" s="1">
        <v>44002</v>
      </c>
      <c r="G352">
        <v>9179</v>
      </c>
      <c r="H352">
        <v>437.2</v>
      </c>
      <c r="I352">
        <v>263.33</v>
      </c>
      <c r="J352">
        <v>4013058.8</v>
      </c>
      <c r="K352">
        <v>2417106.0699999998</v>
      </c>
    </row>
    <row r="353" spans="1:11" x14ac:dyDescent="0.35">
      <c r="A353" t="s">
        <v>361</v>
      </c>
      <c r="B353" t="s">
        <v>976</v>
      </c>
      <c r="C353" t="s">
        <v>12</v>
      </c>
      <c r="D353" s="1">
        <v>43973</v>
      </c>
      <c r="E353">
        <v>544463384</v>
      </c>
      <c r="F353" s="1">
        <v>44007</v>
      </c>
      <c r="G353">
        <v>7669</v>
      </c>
      <c r="H353">
        <v>255.28</v>
      </c>
      <c r="I353">
        <v>159.41999999999999</v>
      </c>
      <c r="J353">
        <v>1957742.32</v>
      </c>
      <c r="K353">
        <v>1222591.98</v>
      </c>
    </row>
    <row r="354" spans="1:11" x14ac:dyDescent="0.35">
      <c r="A354" t="s">
        <v>362</v>
      </c>
      <c r="B354" t="s">
        <v>978</v>
      </c>
      <c r="C354" t="s">
        <v>14</v>
      </c>
      <c r="D354" s="1">
        <v>43938</v>
      </c>
      <c r="E354">
        <v>574051368</v>
      </c>
      <c r="F354" s="1">
        <v>43952</v>
      </c>
      <c r="G354">
        <v>3411</v>
      </c>
      <c r="H354">
        <v>47.45</v>
      </c>
      <c r="I354">
        <v>31.79</v>
      </c>
      <c r="J354">
        <v>161851.95000000001</v>
      </c>
      <c r="K354">
        <v>108435.69</v>
      </c>
    </row>
    <row r="355" spans="1:11" x14ac:dyDescent="0.35">
      <c r="A355" t="s">
        <v>363</v>
      </c>
      <c r="B355" t="s">
        <v>974</v>
      </c>
      <c r="C355" t="s">
        <v>12</v>
      </c>
      <c r="D355" s="1">
        <v>44084</v>
      </c>
      <c r="E355">
        <v>824643075</v>
      </c>
      <c r="F355" s="1">
        <v>44127</v>
      </c>
      <c r="G355">
        <v>9066</v>
      </c>
      <c r="H355">
        <v>9.33</v>
      </c>
      <c r="I355">
        <v>6.92</v>
      </c>
      <c r="J355">
        <v>84585.78</v>
      </c>
      <c r="K355">
        <v>62736.72</v>
      </c>
    </row>
    <row r="356" spans="1:11" x14ac:dyDescent="0.35">
      <c r="A356" t="s">
        <v>364</v>
      </c>
      <c r="B356" t="s">
        <v>982</v>
      </c>
      <c r="C356" t="s">
        <v>19</v>
      </c>
      <c r="D356" s="1">
        <v>44238</v>
      </c>
      <c r="E356">
        <v>393162333</v>
      </c>
      <c r="F356" s="1">
        <v>44284</v>
      </c>
      <c r="G356">
        <v>4326</v>
      </c>
      <c r="H356">
        <v>81.73</v>
      </c>
      <c r="I356">
        <v>56.67</v>
      </c>
      <c r="J356">
        <v>353563.98000000004</v>
      </c>
      <c r="K356">
        <v>245154.42</v>
      </c>
    </row>
    <row r="357" spans="1:11" x14ac:dyDescent="0.35">
      <c r="A357" t="s">
        <v>365</v>
      </c>
      <c r="B357" t="s">
        <v>974</v>
      </c>
      <c r="C357" t="s">
        <v>14</v>
      </c>
      <c r="D357" s="1">
        <v>44375</v>
      </c>
      <c r="E357">
        <v>696845471</v>
      </c>
      <c r="F357" s="1">
        <v>44385</v>
      </c>
      <c r="G357">
        <v>915</v>
      </c>
      <c r="H357">
        <v>9.33</v>
      </c>
      <c r="I357">
        <v>6.92</v>
      </c>
      <c r="J357">
        <v>8536.9500000000007</v>
      </c>
      <c r="K357">
        <v>6331.8</v>
      </c>
    </row>
    <row r="358" spans="1:11" x14ac:dyDescent="0.35">
      <c r="A358" t="s">
        <v>228</v>
      </c>
      <c r="B358" t="s">
        <v>988</v>
      </c>
      <c r="C358" t="s">
        <v>14</v>
      </c>
      <c r="D358" s="1">
        <v>44092</v>
      </c>
      <c r="E358">
        <v>523241317</v>
      </c>
      <c r="F358" s="1">
        <v>44107</v>
      </c>
      <c r="G358">
        <v>7588</v>
      </c>
      <c r="H358">
        <v>109.28</v>
      </c>
      <c r="I358">
        <v>35.840000000000003</v>
      </c>
      <c r="J358">
        <v>829216.64</v>
      </c>
      <c r="K358">
        <v>271953.92000000004</v>
      </c>
    </row>
    <row r="359" spans="1:11" x14ac:dyDescent="0.35">
      <c r="A359" t="s">
        <v>366</v>
      </c>
      <c r="B359" t="s">
        <v>972</v>
      </c>
      <c r="C359" t="s">
        <v>17</v>
      </c>
      <c r="D359" s="1">
        <v>44180</v>
      </c>
      <c r="E359">
        <v>980211198</v>
      </c>
      <c r="F359" s="1">
        <v>44180</v>
      </c>
      <c r="G359">
        <v>5131</v>
      </c>
      <c r="H359">
        <v>205.7</v>
      </c>
      <c r="I359">
        <v>117.11</v>
      </c>
      <c r="J359">
        <v>1055446.7</v>
      </c>
      <c r="K359">
        <v>600891.41</v>
      </c>
    </row>
    <row r="360" spans="1:11" x14ac:dyDescent="0.35">
      <c r="A360" t="s">
        <v>367</v>
      </c>
      <c r="B360" t="s">
        <v>990</v>
      </c>
      <c r="C360" t="s">
        <v>17</v>
      </c>
      <c r="D360" s="1">
        <v>44009</v>
      </c>
      <c r="E360">
        <v>545928943</v>
      </c>
      <c r="F360" s="1">
        <v>44053</v>
      </c>
      <c r="G360">
        <v>1361</v>
      </c>
      <c r="H360">
        <v>668.27</v>
      </c>
      <c r="I360">
        <v>502.54</v>
      </c>
      <c r="J360">
        <v>909515.47</v>
      </c>
      <c r="K360">
        <v>683956.94000000006</v>
      </c>
    </row>
    <row r="361" spans="1:11" x14ac:dyDescent="0.35">
      <c r="A361" t="s">
        <v>368</v>
      </c>
      <c r="B361" t="s">
        <v>986</v>
      </c>
      <c r="C361" t="s">
        <v>17</v>
      </c>
      <c r="D361" s="1">
        <v>44140</v>
      </c>
      <c r="E361">
        <v>918880879</v>
      </c>
      <c r="F361" s="1">
        <v>44178</v>
      </c>
      <c r="G361">
        <v>6127</v>
      </c>
      <c r="H361">
        <v>154.06</v>
      </c>
      <c r="I361">
        <v>90.93</v>
      </c>
      <c r="J361">
        <v>943925.62</v>
      </c>
      <c r="K361">
        <v>557128.11</v>
      </c>
    </row>
    <row r="362" spans="1:11" x14ac:dyDescent="0.35">
      <c r="A362" t="s">
        <v>369</v>
      </c>
      <c r="B362" t="s">
        <v>986</v>
      </c>
      <c r="C362" t="s">
        <v>14</v>
      </c>
      <c r="D362" s="1">
        <v>44760</v>
      </c>
      <c r="E362">
        <v>267865836</v>
      </c>
      <c r="F362" s="1">
        <v>44772</v>
      </c>
      <c r="G362">
        <v>6308</v>
      </c>
      <c r="H362">
        <v>154.06</v>
      </c>
      <c r="I362">
        <v>90.93</v>
      </c>
      <c r="J362">
        <v>971810.48</v>
      </c>
      <c r="K362">
        <v>573586.44000000006</v>
      </c>
    </row>
    <row r="363" spans="1:11" x14ac:dyDescent="0.35">
      <c r="A363" t="s">
        <v>370</v>
      </c>
      <c r="B363" t="s">
        <v>984</v>
      </c>
      <c r="C363" t="s">
        <v>14</v>
      </c>
      <c r="D363" s="1">
        <v>44112</v>
      </c>
      <c r="E363">
        <v>881995141</v>
      </c>
      <c r="F363" s="1">
        <v>44124</v>
      </c>
      <c r="G363">
        <v>817</v>
      </c>
      <c r="H363">
        <v>651.21</v>
      </c>
      <c r="I363">
        <v>524.96</v>
      </c>
      <c r="J363">
        <v>532038.57000000007</v>
      </c>
      <c r="K363">
        <v>428892.32</v>
      </c>
    </row>
    <row r="364" spans="1:11" x14ac:dyDescent="0.35">
      <c r="A364" t="s">
        <v>371</v>
      </c>
      <c r="B364" t="s">
        <v>982</v>
      </c>
      <c r="C364" t="s">
        <v>12</v>
      </c>
      <c r="D364" s="1">
        <v>44244</v>
      </c>
      <c r="E364">
        <v>620692622</v>
      </c>
      <c r="F364" s="1">
        <v>44261</v>
      </c>
      <c r="G364">
        <v>5595</v>
      </c>
      <c r="H364">
        <v>81.73</v>
      </c>
      <c r="I364">
        <v>56.67</v>
      </c>
      <c r="J364">
        <v>457279.35000000003</v>
      </c>
      <c r="K364">
        <v>317068.65000000002</v>
      </c>
    </row>
    <row r="365" spans="1:11" x14ac:dyDescent="0.35">
      <c r="A365" t="s">
        <v>372</v>
      </c>
      <c r="B365" t="s">
        <v>970</v>
      </c>
      <c r="C365" t="s">
        <v>19</v>
      </c>
      <c r="D365" s="1">
        <v>44215</v>
      </c>
      <c r="E365">
        <v>563694608</v>
      </c>
      <c r="F365" s="1">
        <v>44238</v>
      </c>
      <c r="G365">
        <v>8616</v>
      </c>
      <c r="H365">
        <v>421.89</v>
      </c>
      <c r="I365">
        <v>364.69</v>
      </c>
      <c r="J365">
        <v>3635004.2399999998</v>
      </c>
      <c r="K365">
        <v>3142169.04</v>
      </c>
    </row>
    <row r="366" spans="1:11" x14ac:dyDescent="0.35">
      <c r="A366" t="s">
        <v>373</v>
      </c>
      <c r="B366" t="s">
        <v>978</v>
      </c>
      <c r="C366" t="s">
        <v>14</v>
      </c>
      <c r="D366" s="1">
        <v>44799</v>
      </c>
      <c r="E366">
        <v>961049926</v>
      </c>
      <c r="F366" s="1">
        <v>44813</v>
      </c>
      <c r="G366">
        <v>4885</v>
      </c>
      <c r="H366">
        <v>47.45</v>
      </c>
      <c r="I366">
        <v>31.79</v>
      </c>
      <c r="J366">
        <v>231793.25</v>
      </c>
      <c r="K366">
        <v>155294.15</v>
      </c>
    </row>
    <row r="367" spans="1:11" x14ac:dyDescent="0.35">
      <c r="A367" t="s">
        <v>374</v>
      </c>
      <c r="B367" t="s">
        <v>984</v>
      </c>
      <c r="C367" t="s">
        <v>17</v>
      </c>
      <c r="D367" s="1">
        <v>44828</v>
      </c>
      <c r="E367">
        <v>783119904</v>
      </c>
      <c r="F367" s="1">
        <v>44864</v>
      </c>
      <c r="G367">
        <v>1437</v>
      </c>
      <c r="H367">
        <v>651.21</v>
      </c>
      <c r="I367">
        <v>524.96</v>
      </c>
      <c r="J367">
        <v>935788.77</v>
      </c>
      <c r="K367">
        <v>754367.52</v>
      </c>
    </row>
    <row r="368" spans="1:11" x14ac:dyDescent="0.35">
      <c r="A368" t="s">
        <v>375</v>
      </c>
      <c r="B368" t="s">
        <v>982</v>
      </c>
      <c r="C368" t="s">
        <v>14</v>
      </c>
      <c r="D368" s="1">
        <v>44847</v>
      </c>
      <c r="E368">
        <v>870578372</v>
      </c>
      <c r="F368" s="1">
        <v>44871</v>
      </c>
      <c r="G368">
        <v>2341</v>
      </c>
      <c r="H368">
        <v>81.73</v>
      </c>
      <c r="I368">
        <v>56.67</v>
      </c>
      <c r="J368">
        <v>191329.93000000002</v>
      </c>
      <c r="K368">
        <v>132664.47</v>
      </c>
    </row>
    <row r="369" spans="1:11" x14ac:dyDescent="0.35">
      <c r="A369" t="s">
        <v>376</v>
      </c>
      <c r="B369" t="s">
        <v>968</v>
      </c>
      <c r="C369" t="s">
        <v>19</v>
      </c>
      <c r="D369" s="1">
        <v>44503</v>
      </c>
      <c r="E369">
        <v>784411656</v>
      </c>
      <c r="F369" s="1">
        <v>44529</v>
      </c>
      <c r="G369">
        <v>3695</v>
      </c>
      <c r="H369">
        <v>152.58000000000001</v>
      </c>
      <c r="I369">
        <v>97.44</v>
      </c>
      <c r="J369">
        <v>563783.10000000009</v>
      </c>
      <c r="K369">
        <v>360040.8</v>
      </c>
    </row>
    <row r="370" spans="1:11" x14ac:dyDescent="0.35">
      <c r="A370" t="s">
        <v>377</v>
      </c>
      <c r="B370" t="s">
        <v>990</v>
      </c>
      <c r="C370" t="s">
        <v>12</v>
      </c>
      <c r="D370" s="1">
        <v>44114</v>
      </c>
      <c r="E370">
        <v>155918586</v>
      </c>
      <c r="F370" s="1">
        <v>44142</v>
      </c>
      <c r="G370">
        <v>8629</v>
      </c>
      <c r="H370">
        <v>668.27</v>
      </c>
      <c r="I370">
        <v>502.54</v>
      </c>
      <c r="J370">
        <v>5766501.8300000001</v>
      </c>
      <c r="K370">
        <v>4336417.66</v>
      </c>
    </row>
    <row r="371" spans="1:11" x14ac:dyDescent="0.35">
      <c r="A371" t="s">
        <v>378</v>
      </c>
      <c r="B371" t="s">
        <v>980</v>
      </c>
      <c r="C371" t="s">
        <v>12</v>
      </c>
      <c r="D371" s="1">
        <v>44142</v>
      </c>
      <c r="E371">
        <v>936710488</v>
      </c>
      <c r="F371" s="1">
        <v>44173</v>
      </c>
      <c r="G371">
        <v>2304</v>
      </c>
      <c r="H371">
        <v>437.2</v>
      </c>
      <c r="I371">
        <v>263.33</v>
      </c>
      <c r="J371">
        <v>1007308.7999999999</v>
      </c>
      <c r="K371">
        <v>606712.31999999995</v>
      </c>
    </row>
    <row r="372" spans="1:11" x14ac:dyDescent="0.35">
      <c r="A372" t="s">
        <v>379</v>
      </c>
      <c r="B372" t="s">
        <v>968</v>
      </c>
      <c r="C372" t="s">
        <v>19</v>
      </c>
      <c r="D372" s="1">
        <v>44675</v>
      </c>
      <c r="E372">
        <v>648711192</v>
      </c>
      <c r="F372" s="1">
        <v>44697</v>
      </c>
      <c r="G372">
        <v>6912</v>
      </c>
      <c r="H372">
        <v>152.58000000000001</v>
      </c>
      <c r="I372">
        <v>97.44</v>
      </c>
      <c r="J372">
        <v>1054632.9600000002</v>
      </c>
      <c r="K372">
        <v>673505.28000000003</v>
      </c>
    </row>
    <row r="373" spans="1:11" x14ac:dyDescent="0.35">
      <c r="A373" t="s">
        <v>380</v>
      </c>
      <c r="B373" t="s">
        <v>990</v>
      </c>
      <c r="C373" t="s">
        <v>12</v>
      </c>
      <c r="D373" s="1">
        <v>43862</v>
      </c>
      <c r="E373">
        <v>934157025</v>
      </c>
      <c r="F373" s="1">
        <v>43864</v>
      </c>
      <c r="G373">
        <v>6678</v>
      </c>
      <c r="H373">
        <v>668.27</v>
      </c>
      <c r="I373">
        <v>502.54</v>
      </c>
      <c r="J373">
        <v>4462707.0599999996</v>
      </c>
      <c r="K373">
        <v>3355962.12</v>
      </c>
    </row>
    <row r="374" spans="1:11" x14ac:dyDescent="0.35">
      <c r="A374" t="s">
        <v>381</v>
      </c>
      <c r="B374" t="s">
        <v>988</v>
      </c>
      <c r="C374" t="s">
        <v>12</v>
      </c>
      <c r="D374" s="1">
        <v>44692</v>
      </c>
      <c r="E374">
        <v>805596816</v>
      </c>
      <c r="F374" s="1">
        <v>44704</v>
      </c>
      <c r="G374">
        <v>2855</v>
      </c>
      <c r="H374">
        <v>109.28</v>
      </c>
      <c r="I374">
        <v>35.840000000000003</v>
      </c>
      <c r="J374">
        <v>311994.40000000002</v>
      </c>
      <c r="K374">
        <v>102323.20000000001</v>
      </c>
    </row>
    <row r="375" spans="1:11" x14ac:dyDescent="0.35">
      <c r="A375" t="s">
        <v>191</v>
      </c>
      <c r="B375" t="s">
        <v>972</v>
      </c>
      <c r="C375" t="s">
        <v>14</v>
      </c>
      <c r="D375" s="1">
        <v>44042</v>
      </c>
      <c r="E375">
        <v>695891892</v>
      </c>
      <c r="F375" s="1">
        <v>44046</v>
      </c>
      <c r="G375">
        <v>8730</v>
      </c>
      <c r="H375">
        <v>205.7</v>
      </c>
      <c r="I375">
        <v>117.11</v>
      </c>
      <c r="J375">
        <v>1795761</v>
      </c>
      <c r="K375">
        <v>1022370.3</v>
      </c>
    </row>
    <row r="376" spans="1:11" x14ac:dyDescent="0.35">
      <c r="A376" t="s">
        <v>382</v>
      </c>
      <c r="B376" t="s">
        <v>982</v>
      </c>
      <c r="C376" t="s">
        <v>17</v>
      </c>
      <c r="D376" s="1">
        <v>44675</v>
      </c>
      <c r="E376">
        <v>208216083</v>
      </c>
      <c r="F376" s="1">
        <v>44694</v>
      </c>
      <c r="G376">
        <v>4621</v>
      </c>
      <c r="H376">
        <v>81.73</v>
      </c>
      <c r="I376">
        <v>56.67</v>
      </c>
      <c r="J376">
        <v>377674.33</v>
      </c>
      <c r="K376">
        <v>261872.07</v>
      </c>
    </row>
    <row r="377" spans="1:11" x14ac:dyDescent="0.35">
      <c r="A377" t="s">
        <v>383</v>
      </c>
      <c r="B377" t="s">
        <v>972</v>
      </c>
      <c r="C377" t="s">
        <v>12</v>
      </c>
      <c r="D377" s="1">
        <v>44280</v>
      </c>
      <c r="E377">
        <v>366055715</v>
      </c>
      <c r="F377" s="1">
        <v>44291</v>
      </c>
      <c r="G377">
        <v>2875</v>
      </c>
      <c r="H377">
        <v>205.7</v>
      </c>
      <c r="I377">
        <v>117.11</v>
      </c>
      <c r="J377">
        <v>591387.5</v>
      </c>
      <c r="K377">
        <v>336691.25</v>
      </c>
    </row>
    <row r="378" spans="1:11" x14ac:dyDescent="0.35">
      <c r="A378" t="s">
        <v>384</v>
      </c>
      <c r="B378" t="s">
        <v>970</v>
      </c>
      <c r="C378" t="s">
        <v>17</v>
      </c>
      <c r="D378" s="1">
        <v>44350</v>
      </c>
      <c r="E378">
        <v>463209617</v>
      </c>
      <c r="F378" s="1">
        <v>44374</v>
      </c>
      <c r="G378">
        <v>2874</v>
      </c>
      <c r="H378">
        <v>421.89</v>
      </c>
      <c r="I378">
        <v>364.69</v>
      </c>
      <c r="J378">
        <v>1212511.8599999999</v>
      </c>
      <c r="K378">
        <v>1048119.0599999999</v>
      </c>
    </row>
    <row r="379" spans="1:11" x14ac:dyDescent="0.35">
      <c r="A379" t="s">
        <v>385</v>
      </c>
      <c r="B379" t="s">
        <v>980</v>
      </c>
      <c r="C379" t="s">
        <v>19</v>
      </c>
      <c r="D379" s="1">
        <v>44433</v>
      </c>
      <c r="E379">
        <v>313789117</v>
      </c>
      <c r="F379" s="1">
        <v>44446</v>
      </c>
      <c r="G379">
        <v>6028</v>
      </c>
      <c r="H379">
        <v>437.2</v>
      </c>
      <c r="I379">
        <v>263.33</v>
      </c>
      <c r="J379">
        <v>2635441.6</v>
      </c>
      <c r="K379">
        <v>1587353.24</v>
      </c>
    </row>
    <row r="380" spans="1:11" x14ac:dyDescent="0.35">
      <c r="A380" t="s">
        <v>386</v>
      </c>
      <c r="B380" t="s">
        <v>972</v>
      </c>
      <c r="C380" t="s">
        <v>12</v>
      </c>
      <c r="D380" s="1">
        <v>44748</v>
      </c>
      <c r="E380">
        <v>702218043</v>
      </c>
      <c r="F380" s="1">
        <v>44771</v>
      </c>
      <c r="G380">
        <v>779</v>
      </c>
      <c r="H380">
        <v>205.7</v>
      </c>
      <c r="I380">
        <v>117.11</v>
      </c>
      <c r="J380">
        <v>160240.29999999999</v>
      </c>
      <c r="K380">
        <v>91228.69</v>
      </c>
    </row>
    <row r="381" spans="1:11" x14ac:dyDescent="0.35">
      <c r="A381" t="s">
        <v>387</v>
      </c>
      <c r="B381" t="s">
        <v>970</v>
      </c>
      <c r="C381" t="s">
        <v>14</v>
      </c>
      <c r="D381" s="1">
        <v>44618</v>
      </c>
      <c r="E381">
        <v>233232724</v>
      </c>
      <c r="F381" s="1">
        <v>44628</v>
      </c>
      <c r="G381">
        <v>7601</v>
      </c>
      <c r="H381">
        <v>421.89</v>
      </c>
      <c r="I381">
        <v>364.69</v>
      </c>
      <c r="J381">
        <v>3206785.8899999997</v>
      </c>
      <c r="K381">
        <v>2772008.69</v>
      </c>
    </row>
    <row r="382" spans="1:11" x14ac:dyDescent="0.35">
      <c r="A382" t="s">
        <v>388</v>
      </c>
      <c r="B382" t="s">
        <v>976</v>
      </c>
      <c r="C382" t="s">
        <v>17</v>
      </c>
      <c r="D382" s="1">
        <v>44032</v>
      </c>
      <c r="E382">
        <v>281881988</v>
      </c>
      <c r="F382" s="1">
        <v>44054</v>
      </c>
      <c r="G382">
        <v>3999</v>
      </c>
      <c r="H382">
        <v>255.28</v>
      </c>
      <c r="I382">
        <v>159.41999999999999</v>
      </c>
      <c r="J382">
        <v>1020864.72</v>
      </c>
      <c r="K382">
        <v>637520.57999999996</v>
      </c>
    </row>
    <row r="383" spans="1:11" x14ac:dyDescent="0.35">
      <c r="A383" t="s">
        <v>389</v>
      </c>
      <c r="B383" t="s">
        <v>968</v>
      </c>
      <c r="C383" t="s">
        <v>19</v>
      </c>
      <c r="D383" s="1">
        <v>44171</v>
      </c>
      <c r="E383">
        <v>943527162</v>
      </c>
      <c r="F383" s="1">
        <v>44187</v>
      </c>
      <c r="G383">
        <v>9509</v>
      </c>
      <c r="H383">
        <v>152.58000000000001</v>
      </c>
      <c r="I383">
        <v>97.44</v>
      </c>
      <c r="J383">
        <v>1450883.2200000002</v>
      </c>
      <c r="K383">
        <v>926556.96</v>
      </c>
    </row>
    <row r="384" spans="1:11" x14ac:dyDescent="0.35">
      <c r="A384" t="s">
        <v>390</v>
      </c>
      <c r="B384" t="s">
        <v>970</v>
      </c>
      <c r="C384" t="s">
        <v>19</v>
      </c>
      <c r="D384" s="1">
        <v>44797</v>
      </c>
      <c r="E384">
        <v>583842074</v>
      </c>
      <c r="F384" s="1">
        <v>44838</v>
      </c>
      <c r="G384">
        <v>699</v>
      </c>
      <c r="H384">
        <v>421.89</v>
      </c>
      <c r="I384">
        <v>364.69</v>
      </c>
      <c r="J384">
        <v>294901.11</v>
      </c>
      <c r="K384">
        <v>254918.31</v>
      </c>
    </row>
    <row r="385" spans="1:11" x14ac:dyDescent="0.35">
      <c r="A385" t="s">
        <v>391</v>
      </c>
      <c r="B385" t="s">
        <v>976</v>
      </c>
      <c r="C385" t="s">
        <v>14</v>
      </c>
      <c r="D385" s="1">
        <v>44776</v>
      </c>
      <c r="E385">
        <v>788813054</v>
      </c>
      <c r="F385" s="1">
        <v>44782</v>
      </c>
      <c r="G385">
        <v>6167</v>
      </c>
      <c r="H385">
        <v>255.28</v>
      </c>
      <c r="I385">
        <v>159.41999999999999</v>
      </c>
      <c r="J385">
        <v>1574311.76</v>
      </c>
      <c r="K385">
        <v>983143.1399999999</v>
      </c>
    </row>
    <row r="386" spans="1:11" x14ac:dyDescent="0.35">
      <c r="A386" t="s">
        <v>392</v>
      </c>
      <c r="B386" t="s">
        <v>982</v>
      </c>
      <c r="C386" t="s">
        <v>12</v>
      </c>
      <c r="D386" s="1">
        <v>44685</v>
      </c>
      <c r="E386">
        <v>514738929</v>
      </c>
      <c r="F386" s="1">
        <v>44697</v>
      </c>
      <c r="G386">
        <v>1543</v>
      </c>
      <c r="H386">
        <v>81.73</v>
      </c>
      <c r="I386">
        <v>56.67</v>
      </c>
      <c r="J386">
        <v>126109.39</v>
      </c>
      <c r="K386">
        <v>87441.81</v>
      </c>
    </row>
    <row r="387" spans="1:11" x14ac:dyDescent="0.35">
      <c r="A387" t="s">
        <v>393</v>
      </c>
      <c r="B387" t="s">
        <v>974</v>
      </c>
      <c r="C387" t="s">
        <v>19</v>
      </c>
      <c r="D387" s="1">
        <v>44203</v>
      </c>
      <c r="E387">
        <v>138231027</v>
      </c>
      <c r="F387" s="1">
        <v>44224</v>
      </c>
      <c r="G387">
        <v>4487</v>
      </c>
      <c r="H387">
        <v>9.33</v>
      </c>
      <c r="I387">
        <v>6.92</v>
      </c>
      <c r="J387">
        <v>41863.71</v>
      </c>
      <c r="K387">
        <v>31050.04</v>
      </c>
    </row>
    <row r="388" spans="1:11" x14ac:dyDescent="0.35">
      <c r="A388" t="s">
        <v>394</v>
      </c>
      <c r="B388" t="s">
        <v>972</v>
      </c>
      <c r="C388" t="s">
        <v>12</v>
      </c>
      <c r="D388" s="1">
        <v>44725</v>
      </c>
      <c r="E388">
        <v>106213176</v>
      </c>
      <c r="F388" s="1">
        <v>44757</v>
      </c>
      <c r="G388">
        <v>9694</v>
      </c>
      <c r="H388">
        <v>205.7</v>
      </c>
      <c r="I388">
        <v>117.11</v>
      </c>
      <c r="J388">
        <v>1994055.7999999998</v>
      </c>
      <c r="K388">
        <v>1135264.3400000001</v>
      </c>
    </row>
    <row r="389" spans="1:11" x14ac:dyDescent="0.35">
      <c r="A389" t="s">
        <v>395</v>
      </c>
      <c r="B389" t="s">
        <v>968</v>
      </c>
      <c r="C389" t="s">
        <v>19</v>
      </c>
      <c r="D389" s="1">
        <v>44657</v>
      </c>
      <c r="E389">
        <v>485921704</v>
      </c>
      <c r="F389" s="1">
        <v>44666</v>
      </c>
      <c r="G389">
        <v>3885</v>
      </c>
      <c r="H389">
        <v>152.58000000000001</v>
      </c>
      <c r="I389">
        <v>97.44</v>
      </c>
      <c r="J389">
        <v>592773.30000000005</v>
      </c>
      <c r="K389">
        <v>378554.39999999997</v>
      </c>
    </row>
    <row r="390" spans="1:11" x14ac:dyDescent="0.35">
      <c r="A390" t="s">
        <v>396</v>
      </c>
      <c r="B390" t="s">
        <v>984</v>
      </c>
      <c r="C390" t="s">
        <v>14</v>
      </c>
      <c r="D390" s="1">
        <v>44122</v>
      </c>
      <c r="E390">
        <v>514905440</v>
      </c>
      <c r="F390" s="1">
        <v>44126</v>
      </c>
      <c r="G390">
        <v>817</v>
      </c>
      <c r="H390">
        <v>651.21</v>
      </c>
      <c r="I390">
        <v>524.96</v>
      </c>
      <c r="J390">
        <v>532038.57000000007</v>
      </c>
      <c r="K390">
        <v>428892.32</v>
      </c>
    </row>
    <row r="391" spans="1:11" x14ac:dyDescent="0.35">
      <c r="A391" t="s">
        <v>397</v>
      </c>
      <c r="B391" t="s">
        <v>982</v>
      </c>
      <c r="C391" t="s">
        <v>17</v>
      </c>
      <c r="D391" s="1">
        <v>44431</v>
      </c>
      <c r="E391">
        <v>851025712</v>
      </c>
      <c r="F391" s="1">
        <v>44466</v>
      </c>
      <c r="G391">
        <v>6275</v>
      </c>
      <c r="H391">
        <v>81.73</v>
      </c>
      <c r="I391">
        <v>56.67</v>
      </c>
      <c r="J391">
        <v>512855.75</v>
      </c>
      <c r="K391">
        <v>355604.25</v>
      </c>
    </row>
    <row r="392" spans="1:11" x14ac:dyDescent="0.35">
      <c r="A392" t="s">
        <v>398</v>
      </c>
      <c r="B392" t="s">
        <v>976</v>
      </c>
      <c r="C392" t="s">
        <v>17</v>
      </c>
      <c r="D392" s="1">
        <v>44432</v>
      </c>
      <c r="E392">
        <v>422456347</v>
      </c>
      <c r="F392" s="1">
        <v>44434</v>
      </c>
      <c r="G392">
        <v>3076</v>
      </c>
      <c r="H392">
        <v>255.28</v>
      </c>
      <c r="I392">
        <v>159.41999999999999</v>
      </c>
      <c r="J392">
        <v>785241.28</v>
      </c>
      <c r="K392">
        <v>490375.92</v>
      </c>
    </row>
    <row r="393" spans="1:11" x14ac:dyDescent="0.35">
      <c r="A393" t="s">
        <v>399</v>
      </c>
      <c r="B393" t="s">
        <v>980</v>
      </c>
      <c r="C393" t="s">
        <v>14</v>
      </c>
      <c r="D393" s="1">
        <v>44164</v>
      </c>
      <c r="E393">
        <v>477683675</v>
      </c>
      <c r="F393" s="1">
        <v>44188</v>
      </c>
      <c r="G393">
        <v>6069</v>
      </c>
      <c r="H393">
        <v>437.2</v>
      </c>
      <c r="I393">
        <v>263.33</v>
      </c>
      <c r="J393">
        <v>2653366.7999999998</v>
      </c>
      <c r="K393">
        <v>1598149.77</v>
      </c>
    </row>
    <row r="394" spans="1:11" x14ac:dyDescent="0.35">
      <c r="A394" t="s">
        <v>352</v>
      </c>
      <c r="B394" t="s">
        <v>988</v>
      </c>
      <c r="C394" t="s">
        <v>17</v>
      </c>
      <c r="D394" s="1">
        <v>44335</v>
      </c>
      <c r="E394">
        <v>535506522</v>
      </c>
      <c r="F394" s="1">
        <v>44341</v>
      </c>
      <c r="G394">
        <v>7135</v>
      </c>
      <c r="H394">
        <v>109.28</v>
      </c>
      <c r="I394">
        <v>35.840000000000003</v>
      </c>
      <c r="J394">
        <v>779712.8</v>
      </c>
      <c r="K394">
        <v>255718.40000000002</v>
      </c>
    </row>
    <row r="395" spans="1:11" x14ac:dyDescent="0.35">
      <c r="A395" t="s">
        <v>400</v>
      </c>
      <c r="B395" t="s">
        <v>972</v>
      </c>
      <c r="C395" t="s">
        <v>17</v>
      </c>
      <c r="D395" s="1">
        <v>44757</v>
      </c>
      <c r="E395">
        <v>635036218</v>
      </c>
      <c r="F395" s="1">
        <v>44773</v>
      </c>
      <c r="G395">
        <v>184</v>
      </c>
      <c r="H395">
        <v>205.7</v>
      </c>
      <c r="I395">
        <v>117.11</v>
      </c>
      <c r="J395">
        <v>37848.799999999996</v>
      </c>
      <c r="K395">
        <v>21548.240000000002</v>
      </c>
    </row>
    <row r="396" spans="1:11" x14ac:dyDescent="0.35">
      <c r="A396" t="s">
        <v>401</v>
      </c>
      <c r="B396" t="s">
        <v>970</v>
      </c>
      <c r="C396" t="s">
        <v>17</v>
      </c>
      <c r="D396" s="1">
        <v>44865</v>
      </c>
      <c r="E396">
        <v>885696589</v>
      </c>
      <c r="F396" s="1">
        <v>44876</v>
      </c>
      <c r="G396">
        <v>6158</v>
      </c>
      <c r="H396">
        <v>421.89</v>
      </c>
      <c r="I396">
        <v>364.69</v>
      </c>
      <c r="J396">
        <v>2597998.62</v>
      </c>
      <c r="K396">
        <v>2245761.02</v>
      </c>
    </row>
    <row r="397" spans="1:11" x14ac:dyDescent="0.35">
      <c r="A397" t="s">
        <v>402</v>
      </c>
      <c r="B397" t="s">
        <v>986</v>
      </c>
      <c r="C397" t="s">
        <v>17</v>
      </c>
      <c r="D397" s="1">
        <v>44241</v>
      </c>
      <c r="E397">
        <v>117223966</v>
      </c>
      <c r="F397" s="1">
        <v>44252</v>
      </c>
      <c r="G397">
        <v>8031</v>
      </c>
      <c r="H397">
        <v>154.06</v>
      </c>
      <c r="I397">
        <v>90.93</v>
      </c>
      <c r="J397">
        <v>1237255.8600000001</v>
      </c>
      <c r="K397">
        <v>730258.83000000007</v>
      </c>
    </row>
    <row r="398" spans="1:11" x14ac:dyDescent="0.35">
      <c r="A398" t="s">
        <v>403</v>
      </c>
      <c r="B398" t="s">
        <v>988</v>
      </c>
      <c r="C398" t="s">
        <v>14</v>
      </c>
      <c r="D398" s="1">
        <v>44181</v>
      </c>
      <c r="E398">
        <v>829667174</v>
      </c>
      <c r="F398" s="1">
        <v>44205</v>
      </c>
      <c r="G398">
        <v>5809</v>
      </c>
      <c r="H398">
        <v>109.28</v>
      </c>
      <c r="I398">
        <v>35.840000000000003</v>
      </c>
      <c r="J398">
        <v>634807.52</v>
      </c>
      <c r="K398">
        <v>208194.56000000003</v>
      </c>
    </row>
    <row r="399" spans="1:11" x14ac:dyDescent="0.35">
      <c r="A399" t="s">
        <v>404</v>
      </c>
      <c r="B399" t="s">
        <v>978</v>
      </c>
      <c r="C399" t="s">
        <v>12</v>
      </c>
      <c r="D399" s="1">
        <v>44040</v>
      </c>
      <c r="E399">
        <v>643387544</v>
      </c>
      <c r="F399" s="1">
        <v>44063</v>
      </c>
      <c r="G399">
        <v>1527</v>
      </c>
      <c r="H399">
        <v>47.45</v>
      </c>
      <c r="I399">
        <v>31.79</v>
      </c>
      <c r="J399">
        <v>72456.150000000009</v>
      </c>
      <c r="K399">
        <v>48543.33</v>
      </c>
    </row>
    <row r="400" spans="1:11" x14ac:dyDescent="0.35">
      <c r="A400" t="s">
        <v>405</v>
      </c>
      <c r="B400" t="s">
        <v>968</v>
      </c>
      <c r="C400" t="s">
        <v>17</v>
      </c>
      <c r="D400" s="1">
        <v>43839</v>
      </c>
      <c r="E400">
        <v>849058902</v>
      </c>
      <c r="F400" s="1">
        <v>43855</v>
      </c>
      <c r="G400">
        <v>4252</v>
      </c>
      <c r="H400">
        <v>152.58000000000001</v>
      </c>
      <c r="I400">
        <v>97.44</v>
      </c>
      <c r="J400">
        <v>648770.16</v>
      </c>
      <c r="K400">
        <v>414314.88</v>
      </c>
    </row>
    <row r="401" spans="1:11" x14ac:dyDescent="0.35">
      <c r="A401" t="s">
        <v>406</v>
      </c>
      <c r="B401" t="s">
        <v>984</v>
      </c>
      <c r="C401" t="s">
        <v>17</v>
      </c>
      <c r="D401" s="1">
        <v>44792</v>
      </c>
      <c r="E401">
        <v>557667577</v>
      </c>
      <c r="F401" s="1">
        <v>44819</v>
      </c>
      <c r="G401">
        <v>5083</v>
      </c>
      <c r="H401">
        <v>651.21</v>
      </c>
      <c r="I401">
        <v>524.96</v>
      </c>
      <c r="J401">
        <v>3310100.43</v>
      </c>
      <c r="K401">
        <v>2668371.6800000002</v>
      </c>
    </row>
    <row r="402" spans="1:11" x14ac:dyDescent="0.35">
      <c r="A402" t="s">
        <v>407</v>
      </c>
      <c r="B402" t="s">
        <v>988</v>
      </c>
      <c r="C402" t="s">
        <v>12</v>
      </c>
      <c r="D402" s="1">
        <v>44607</v>
      </c>
      <c r="E402">
        <v>750512397</v>
      </c>
      <c r="F402" s="1">
        <v>44624</v>
      </c>
      <c r="G402">
        <v>2151</v>
      </c>
      <c r="H402">
        <v>109.28</v>
      </c>
      <c r="I402">
        <v>35.840000000000003</v>
      </c>
      <c r="J402">
        <v>235061.28</v>
      </c>
      <c r="K402">
        <v>77091.840000000011</v>
      </c>
    </row>
    <row r="403" spans="1:11" x14ac:dyDescent="0.35">
      <c r="A403" t="s">
        <v>408</v>
      </c>
      <c r="B403" t="s">
        <v>986</v>
      </c>
      <c r="C403" t="s">
        <v>19</v>
      </c>
      <c r="D403" s="1">
        <v>44268</v>
      </c>
      <c r="E403">
        <v>229204690</v>
      </c>
      <c r="F403" s="1">
        <v>44280</v>
      </c>
      <c r="G403">
        <v>5616</v>
      </c>
      <c r="H403">
        <v>154.06</v>
      </c>
      <c r="I403">
        <v>90.93</v>
      </c>
      <c r="J403">
        <v>865200.96</v>
      </c>
      <c r="K403">
        <v>510662.88000000006</v>
      </c>
    </row>
    <row r="404" spans="1:11" x14ac:dyDescent="0.35">
      <c r="A404" t="s">
        <v>409</v>
      </c>
      <c r="B404" t="s">
        <v>974</v>
      </c>
      <c r="C404" t="s">
        <v>14</v>
      </c>
      <c r="D404" s="1">
        <v>44387</v>
      </c>
      <c r="E404">
        <v>565668284</v>
      </c>
      <c r="F404" s="1">
        <v>44411</v>
      </c>
      <c r="G404">
        <v>2671</v>
      </c>
      <c r="H404">
        <v>9.33</v>
      </c>
      <c r="I404">
        <v>6.92</v>
      </c>
      <c r="J404">
        <v>24920.43</v>
      </c>
      <c r="K404">
        <v>18483.32</v>
      </c>
    </row>
    <row r="405" spans="1:11" x14ac:dyDescent="0.35">
      <c r="A405" t="s">
        <v>410</v>
      </c>
      <c r="B405" t="s">
        <v>968</v>
      </c>
      <c r="C405" t="s">
        <v>19</v>
      </c>
      <c r="D405" s="1">
        <v>44674</v>
      </c>
      <c r="E405">
        <v>252139508</v>
      </c>
      <c r="F405" s="1">
        <v>44704</v>
      </c>
      <c r="G405">
        <v>2538</v>
      </c>
      <c r="H405">
        <v>152.58000000000001</v>
      </c>
      <c r="I405">
        <v>97.44</v>
      </c>
      <c r="J405">
        <v>387248.04000000004</v>
      </c>
      <c r="K405">
        <v>247302.72</v>
      </c>
    </row>
    <row r="406" spans="1:11" x14ac:dyDescent="0.35">
      <c r="A406" t="s">
        <v>411</v>
      </c>
      <c r="B406" t="s">
        <v>968</v>
      </c>
      <c r="C406" t="s">
        <v>14</v>
      </c>
      <c r="D406" s="1">
        <v>44470</v>
      </c>
      <c r="E406">
        <v>551167190</v>
      </c>
      <c r="F406" s="1">
        <v>44513</v>
      </c>
      <c r="G406">
        <v>1474</v>
      </c>
      <c r="H406">
        <v>152.58000000000001</v>
      </c>
      <c r="I406">
        <v>97.44</v>
      </c>
      <c r="J406">
        <v>224902.92</v>
      </c>
      <c r="K406">
        <v>143626.56</v>
      </c>
    </row>
    <row r="407" spans="1:11" x14ac:dyDescent="0.35">
      <c r="A407" t="s">
        <v>412</v>
      </c>
      <c r="B407" t="s">
        <v>990</v>
      </c>
      <c r="C407" t="s">
        <v>12</v>
      </c>
      <c r="D407" s="1">
        <v>44302</v>
      </c>
      <c r="E407">
        <v>545612657</v>
      </c>
      <c r="F407" s="1">
        <v>44345</v>
      </c>
      <c r="G407">
        <v>7765</v>
      </c>
      <c r="H407">
        <v>668.27</v>
      </c>
      <c r="I407">
        <v>502.54</v>
      </c>
      <c r="J407">
        <v>5189116.55</v>
      </c>
      <c r="K407">
        <v>3902223.1</v>
      </c>
    </row>
    <row r="408" spans="1:11" x14ac:dyDescent="0.35">
      <c r="A408" t="s">
        <v>413</v>
      </c>
      <c r="B408" t="s">
        <v>968</v>
      </c>
      <c r="C408" t="s">
        <v>17</v>
      </c>
      <c r="D408" s="1">
        <v>44323</v>
      </c>
      <c r="E408">
        <v>288649737</v>
      </c>
      <c r="F408" s="1">
        <v>44367</v>
      </c>
      <c r="G408">
        <v>6727</v>
      </c>
      <c r="H408">
        <v>152.58000000000001</v>
      </c>
      <c r="I408">
        <v>97.44</v>
      </c>
      <c r="J408">
        <v>1026405.66</v>
      </c>
      <c r="K408">
        <v>655478.88</v>
      </c>
    </row>
    <row r="409" spans="1:11" x14ac:dyDescent="0.35">
      <c r="A409" t="s">
        <v>414</v>
      </c>
      <c r="B409" t="s">
        <v>982</v>
      </c>
      <c r="C409" t="s">
        <v>17</v>
      </c>
      <c r="D409" s="1">
        <v>44834</v>
      </c>
      <c r="E409">
        <v>353764760</v>
      </c>
      <c r="F409" s="1">
        <v>44861</v>
      </c>
      <c r="G409">
        <v>5709</v>
      </c>
      <c r="H409">
        <v>81.73</v>
      </c>
      <c r="I409">
        <v>56.67</v>
      </c>
      <c r="J409">
        <v>466596.57</v>
      </c>
      <c r="K409">
        <v>323529.03000000003</v>
      </c>
    </row>
    <row r="410" spans="1:11" x14ac:dyDescent="0.35">
      <c r="A410" t="s">
        <v>415</v>
      </c>
      <c r="B410" t="s">
        <v>974</v>
      </c>
      <c r="C410" t="s">
        <v>19</v>
      </c>
      <c r="D410" s="1">
        <v>44717</v>
      </c>
      <c r="E410">
        <v>484756553</v>
      </c>
      <c r="F410" s="1">
        <v>44726</v>
      </c>
      <c r="G410">
        <v>9091</v>
      </c>
      <c r="H410">
        <v>9.33</v>
      </c>
      <c r="I410">
        <v>6.92</v>
      </c>
      <c r="J410">
        <v>84819.03</v>
      </c>
      <c r="K410">
        <v>62909.72</v>
      </c>
    </row>
    <row r="411" spans="1:11" x14ac:dyDescent="0.35">
      <c r="A411" t="s">
        <v>416</v>
      </c>
      <c r="B411" t="s">
        <v>978</v>
      </c>
      <c r="C411" t="s">
        <v>19</v>
      </c>
      <c r="D411" s="1">
        <v>44042</v>
      </c>
      <c r="E411">
        <v>945736443</v>
      </c>
      <c r="F411" s="1">
        <v>44063</v>
      </c>
      <c r="G411">
        <v>3285</v>
      </c>
      <c r="H411">
        <v>47.45</v>
      </c>
      <c r="I411">
        <v>31.79</v>
      </c>
      <c r="J411">
        <v>155873.25</v>
      </c>
      <c r="K411">
        <v>104430.15</v>
      </c>
    </row>
    <row r="412" spans="1:11" x14ac:dyDescent="0.35">
      <c r="A412" t="s">
        <v>417</v>
      </c>
      <c r="B412" t="s">
        <v>978</v>
      </c>
      <c r="C412" t="s">
        <v>17</v>
      </c>
      <c r="D412" s="1">
        <v>44594</v>
      </c>
      <c r="E412">
        <v>271128261</v>
      </c>
      <c r="F412" s="1">
        <v>44627</v>
      </c>
      <c r="G412">
        <v>1732</v>
      </c>
      <c r="H412">
        <v>47.45</v>
      </c>
      <c r="I412">
        <v>31.79</v>
      </c>
      <c r="J412">
        <v>82183.400000000009</v>
      </c>
      <c r="K412">
        <v>55060.28</v>
      </c>
    </row>
    <row r="413" spans="1:11" x14ac:dyDescent="0.35">
      <c r="A413" t="s">
        <v>418</v>
      </c>
      <c r="B413" t="s">
        <v>976</v>
      </c>
      <c r="C413" t="s">
        <v>17</v>
      </c>
      <c r="D413" s="1">
        <v>44130</v>
      </c>
      <c r="E413">
        <v>215668332</v>
      </c>
      <c r="F413" s="1">
        <v>44156</v>
      </c>
      <c r="G413">
        <v>9907</v>
      </c>
      <c r="H413">
        <v>255.28</v>
      </c>
      <c r="I413">
        <v>159.41999999999999</v>
      </c>
      <c r="J413">
        <v>2529058.96</v>
      </c>
      <c r="K413">
        <v>1579373.94</v>
      </c>
    </row>
    <row r="414" spans="1:11" x14ac:dyDescent="0.35">
      <c r="A414" t="s">
        <v>419</v>
      </c>
      <c r="B414" t="s">
        <v>974</v>
      </c>
      <c r="C414" t="s">
        <v>14</v>
      </c>
      <c r="D414" s="1">
        <v>44205</v>
      </c>
      <c r="E414">
        <v>804405486</v>
      </c>
      <c r="F414" s="1">
        <v>44228</v>
      </c>
      <c r="G414">
        <v>314</v>
      </c>
      <c r="H414">
        <v>9.33</v>
      </c>
      <c r="I414">
        <v>6.92</v>
      </c>
      <c r="J414">
        <v>2929.62</v>
      </c>
      <c r="K414">
        <v>2172.88</v>
      </c>
    </row>
    <row r="415" spans="1:11" x14ac:dyDescent="0.35">
      <c r="A415" t="s">
        <v>420</v>
      </c>
      <c r="B415" t="s">
        <v>970</v>
      </c>
      <c r="C415" t="s">
        <v>19</v>
      </c>
      <c r="D415" s="1">
        <v>44434</v>
      </c>
      <c r="E415">
        <v>782701051</v>
      </c>
      <c r="F415" s="1">
        <v>44440</v>
      </c>
      <c r="G415">
        <v>7489</v>
      </c>
      <c r="H415">
        <v>421.89</v>
      </c>
      <c r="I415">
        <v>364.69</v>
      </c>
      <c r="J415">
        <v>3159534.21</v>
      </c>
      <c r="K415">
        <v>2731163.41</v>
      </c>
    </row>
    <row r="416" spans="1:11" x14ac:dyDescent="0.35">
      <c r="A416" t="s">
        <v>421</v>
      </c>
      <c r="B416" t="s">
        <v>990</v>
      </c>
      <c r="C416" t="s">
        <v>12</v>
      </c>
      <c r="D416" s="1">
        <v>44058</v>
      </c>
      <c r="E416">
        <v>766228854</v>
      </c>
      <c r="F416" s="1">
        <v>44107</v>
      </c>
      <c r="G416">
        <v>3000</v>
      </c>
      <c r="H416">
        <v>668.27</v>
      </c>
      <c r="I416">
        <v>502.54</v>
      </c>
      <c r="J416">
        <v>2004810</v>
      </c>
      <c r="K416">
        <v>1507620</v>
      </c>
    </row>
    <row r="417" spans="1:11" x14ac:dyDescent="0.35">
      <c r="A417" t="s">
        <v>422</v>
      </c>
      <c r="B417" t="s">
        <v>974</v>
      </c>
      <c r="C417" t="s">
        <v>19</v>
      </c>
      <c r="D417" s="1">
        <v>44551</v>
      </c>
      <c r="E417">
        <v>990975224</v>
      </c>
      <c r="F417" s="1">
        <v>44588</v>
      </c>
      <c r="G417">
        <v>445</v>
      </c>
      <c r="H417">
        <v>9.33</v>
      </c>
      <c r="I417">
        <v>6.92</v>
      </c>
      <c r="J417">
        <v>4151.8500000000004</v>
      </c>
      <c r="K417">
        <v>3079.4</v>
      </c>
    </row>
    <row r="418" spans="1:11" x14ac:dyDescent="0.35">
      <c r="A418" t="s">
        <v>423</v>
      </c>
      <c r="B418" t="s">
        <v>972</v>
      </c>
      <c r="C418" t="s">
        <v>19</v>
      </c>
      <c r="D418" s="1">
        <v>43881</v>
      </c>
      <c r="E418">
        <v>863238990</v>
      </c>
      <c r="F418" s="1">
        <v>43924</v>
      </c>
      <c r="G418">
        <v>455</v>
      </c>
      <c r="H418">
        <v>205.7</v>
      </c>
      <c r="I418">
        <v>117.11</v>
      </c>
      <c r="J418">
        <v>93593.5</v>
      </c>
      <c r="K418">
        <v>53285.05</v>
      </c>
    </row>
    <row r="419" spans="1:11" x14ac:dyDescent="0.35">
      <c r="A419" t="s">
        <v>424</v>
      </c>
      <c r="B419" t="s">
        <v>982</v>
      </c>
      <c r="C419" t="s">
        <v>19</v>
      </c>
      <c r="D419" s="1">
        <v>44338</v>
      </c>
      <c r="E419">
        <v>309631478</v>
      </c>
      <c r="F419" s="1">
        <v>44343</v>
      </c>
      <c r="G419">
        <v>5690</v>
      </c>
      <c r="H419">
        <v>81.73</v>
      </c>
      <c r="I419">
        <v>56.67</v>
      </c>
      <c r="J419">
        <v>465043.7</v>
      </c>
      <c r="K419">
        <v>322452.3</v>
      </c>
    </row>
    <row r="420" spans="1:11" x14ac:dyDescent="0.35">
      <c r="A420" t="s">
        <v>425</v>
      </c>
      <c r="B420" t="s">
        <v>986</v>
      </c>
      <c r="C420" t="s">
        <v>17</v>
      </c>
      <c r="D420" s="1">
        <v>44705</v>
      </c>
      <c r="E420">
        <v>227076518</v>
      </c>
      <c r="F420" s="1">
        <v>44755</v>
      </c>
      <c r="G420">
        <v>5843</v>
      </c>
      <c r="H420">
        <v>154.06</v>
      </c>
      <c r="I420">
        <v>90.93</v>
      </c>
      <c r="J420">
        <v>900172.58</v>
      </c>
      <c r="K420">
        <v>531303.99</v>
      </c>
    </row>
    <row r="421" spans="1:11" x14ac:dyDescent="0.35">
      <c r="A421" t="s">
        <v>426</v>
      </c>
      <c r="B421" t="s">
        <v>982</v>
      </c>
      <c r="C421" t="s">
        <v>12</v>
      </c>
      <c r="D421" s="1">
        <v>43913</v>
      </c>
      <c r="E421">
        <v>232810437</v>
      </c>
      <c r="F421" s="1">
        <v>43927</v>
      </c>
      <c r="G421">
        <v>2637</v>
      </c>
      <c r="H421">
        <v>81.73</v>
      </c>
      <c r="I421">
        <v>56.67</v>
      </c>
      <c r="J421">
        <v>215522.01</v>
      </c>
      <c r="K421">
        <v>149438.79</v>
      </c>
    </row>
    <row r="422" spans="1:11" x14ac:dyDescent="0.35">
      <c r="A422" t="s">
        <v>427</v>
      </c>
      <c r="B422" t="s">
        <v>978</v>
      </c>
      <c r="C422" t="s">
        <v>12</v>
      </c>
      <c r="D422" s="1">
        <v>44691</v>
      </c>
      <c r="E422">
        <v>914382064</v>
      </c>
      <c r="F422" s="1">
        <v>44718</v>
      </c>
      <c r="G422">
        <v>4827</v>
      </c>
      <c r="H422">
        <v>47.45</v>
      </c>
      <c r="I422">
        <v>31.79</v>
      </c>
      <c r="J422">
        <v>229041.15000000002</v>
      </c>
      <c r="K422">
        <v>153450.32999999999</v>
      </c>
    </row>
    <row r="423" spans="1:11" x14ac:dyDescent="0.35">
      <c r="A423" t="s">
        <v>428</v>
      </c>
      <c r="B423" t="s">
        <v>986</v>
      </c>
      <c r="C423" t="s">
        <v>12</v>
      </c>
      <c r="D423" s="1">
        <v>44698</v>
      </c>
      <c r="E423">
        <v>679652726</v>
      </c>
      <c r="F423" s="1">
        <v>44725</v>
      </c>
      <c r="G423">
        <v>3200</v>
      </c>
      <c r="H423">
        <v>154.06</v>
      </c>
      <c r="I423">
        <v>90.93</v>
      </c>
      <c r="J423">
        <v>492992</v>
      </c>
      <c r="K423">
        <v>290976</v>
      </c>
    </row>
    <row r="424" spans="1:11" x14ac:dyDescent="0.35">
      <c r="A424" t="s">
        <v>429</v>
      </c>
      <c r="B424" t="s">
        <v>972</v>
      </c>
      <c r="C424" t="s">
        <v>17</v>
      </c>
      <c r="D424" s="1">
        <v>44349</v>
      </c>
      <c r="E424">
        <v>706796252</v>
      </c>
      <c r="F424" s="1">
        <v>44393</v>
      </c>
      <c r="G424">
        <v>5572</v>
      </c>
      <c r="H424">
        <v>205.7</v>
      </c>
      <c r="I424">
        <v>117.11</v>
      </c>
      <c r="J424">
        <v>1146160.3999999999</v>
      </c>
      <c r="K424">
        <v>652536.92000000004</v>
      </c>
    </row>
    <row r="425" spans="1:11" x14ac:dyDescent="0.35">
      <c r="A425" t="s">
        <v>430</v>
      </c>
      <c r="B425" t="s">
        <v>974</v>
      </c>
      <c r="C425" t="s">
        <v>19</v>
      </c>
      <c r="D425" s="1">
        <v>44204</v>
      </c>
      <c r="E425">
        <v>894298970</v>
      </c>
      <c r="F425" s="1">
        <v>44222</v>
      </c>
      <c r="G425">
        <v>1793</v>
      </c>
      <c r="H425">
        <v>9.33</v>
      </c>
      <c r="I425">
        <v>6.92</v>
      </c>
      <c r="J425">
        <v>16728.689999999999</v>
      </c>
      <c r="K425">
        <v>12407.56</v>
      </c>
    </row>
    <row r="426" spans="1:11" x14ac:dyDescent="0.35">
      <c r="A426" t="s">
        <v>431</v>
      </c>
      <c r="B426" t="s">
        <v>978</v>
      </c>
      <c r="C426" t="s">
        <v>17</v>
      </c>
      <c r="D426" s="1">
        <v>44449</v>
      </c>
      <c r="E426">
        <v>310959708</v>
      </c>
      <c r="F426" s="1">
        <v>44481</v>
      </c>
      <c r="G426">
        <v>8743</v>
      </c>
      <c r="H426">
        <v>47.45</v>
      </c>
      <c r="I426">
        <v>31.79</v>
      </c>
      <c r="J426">
        <v>414855.35000000003</v>
      </c>
      <c r="K426">
        <v>277939.96999999997</v>
      </c>
    </row>
    <row r="427" spans="1:11" x14ac:dyDescent="0.35">
      <c r="A427" t="s">
        <v>432</v>
      </c>
      <c r="B427" t="s">
        <v>978</v>
      </c>
      <c r="C427" t="s">
        <v>17</v>
      </c>
      <c r="D427" s="1">
        <v>44374</v>
      </c>
      <c r="E427">
        <v>345889794</v>
      </c>
      <c r="F427" s="1">
        <v>44402</v>
      </c>
      <c r="G427">
        <v>5331</v>
      </c>
      <c r="H427">
        <v>47.45</v>
      </c>
      <c r="I427">
        <v>31.79</v>
      </c>
      <c r="J427">
        <v>252955.95</v>
      </c>
      <c r="K427">
        <v>169472.49</v>
      </c>
    </row>
    <row r="428" spans="1:11" x14ac:dyDescent="0.35">
      <c r="A428" t="s">
        <v>433</v>
      </c>
      <c r="B428" t="s">
        <v>974</v>
      </c>
      <c r="C428" t="s">
        <v>14</v>
      </c>
      <c r="D428" s="1">
        <v>43936</v>
      </c>
      <c r="E428">
        <v>658513057</v>
      </c>
      <c r="F428" s="1">
        <v>43974</v>
      </c>
      <c r="G428">
        <v>7502</v>
      </c>
      <c r="H428">
        <v>9.33</v>
      </c>
      <c r="I428">
        <v>6.92</v>
      </c>
      <c r="J428">
        <v>69993.66</v>
      </c>
      <c r="K428">
        <v>51913.84</v>
      </c>
    </row>
    <row r="429" spans="1:11" x14ac:dyDescent="0.35">
      <c r="A429" t="s">
        <v>434</v>
      </c>
      <c r="B429" t="s">
        <v>984</v>
      </c>
      <c r="C429" t="s">
        <v>19</v>
      </c>
      <c r="D429" s="1">
        <v>44283</v>
      </c>
      <c r="E429">
        <v>528565824</v>
      </c>
      <c r="F429" s="1">
        <v>44289</v>
      </c>
      <c r="G429">
        <v>3228</v>
      </c>
      <c r="H429">
        <v>651.21</v>
      </c>
      <c r="I429">
        <v>524.96</v>
      </c>
      <c r="J429">
        <v>2102105.88</v>
      </c>
      <c r="K429">
        <v>1694570.8800000001</v>
      </c>
    </row>
    <row r="430" spans="1:11" x14ac:dyDescent="0.35">
      <c r="A430" t="s">
        <v>435</v>
      </c>
      <c r="B430" t="s">
        <v>984</v>
      </c>
      <c r="C430" t="s">
        <v>14</v>
      </c>
      <c r="D430" s="1">
        <v>44102</v>
      </c>
      <c r="E430">
        <v>206096923</v>
      </c>
      <c r="F430" s="1">
        <v>44119</v>
      </c>
      <c r="G430">
        <v>7514</v>
      </c>
      <c r="H430">
        <v>651.21</v>
      </c>
      <c r="I430">
        <v>524.96</v>
      </c>
      <c r="J430">
        <v>4893191.9400000004</v>
      </c>
      <c r="K430">
        <v>3944549.4400000004</v>
      </c>
    </row>
    <row r="431" spans="1:11" x14ac:dyDescent="0.35">
      <c r="A431" t="s">
        <v>436</v>
      </c>
      <c r="B431" t="s">
        <v>988</v>
      </c>
      <c r="C431" t="s">
        <v>17</v>
      </c>
      <c r="D431" s="1">
        <v>44311</v>
      </c>
      <c r="E431">
        <v>461467683</v>
      </c>
      <c r="F431" s="1">
        <v>44327</v>
      </c>
      <c r="G431">
        <v>7397</v>
      </c>
      <c r="H431">
        <v>109.28</v>
      </c>
      <c r="I431">
        <v>35.840000000000003</v>
      </c>
      <c r="J431">
        <v>808344.16</v>
      </c>
      <c r="K431">
        <v>265108.48000000004</v>
      </c>
    </row>
    <row r="432" spans="1:11" x14ac:dyDescent="0.35">
      <c r="A432" t="s">
        <v>437</v>
      </c>
      <c r="B432" t="s">
        <v>978</v>
      </c>
      <c r="C432" t="s">
        <v>14</v>
      </c>
      <c r="D432" s="1">
        <v>44412</v>
      </c>
      <c r="E432">
        <v>335351932</v>
      </c>
      <c r="F432" s="1">
        <v>44452</v>
      </c>
      <c r="G432">
        <v>6944</v>
      </c>
      <c r="H432">
        <v>47.45</v>
      </c>
      <c r="I432">
        <v>31.79</v>
      </c>
      <c r="J432">
        <v>329492.80000000005</v>
      </c>
      <c r="K432">
        <v>220749.75999999998</v>
      </c>
    </row>
    <row r="433" spans="1:11" x14ac:dyDescent="0.35">
      <c r="A433" t="s">
        <v>438</v>
      </c>
      <c r="B433" t="s">
        <v>986</v>
      </c>
      <c r="C433" t="s">
        <v>19</v>
      </c>
      <c r="D433" s="1">
        <v>44053</v>
      </c>
      <c r="E433">
        <v>288735997</v>
      </c>
      <c r="F433" s="1">
        <v>44088</v>
      </c>
      <c r="G433">
        <v>2253</v>
      </c>
      <c r="H433">
        <v>154.06</v>
      </c>
      <c r="I433">
        <v>90.93</v>
      </c>
      <c r="J433">
        <v>347097.18</v>
      </c>
      <c r="K433">
        <v>204865.29</v>
      </c>
    </row>
    <row r="434" spans="1:11" x14ac:dyDescent="0.35">
      <c r="A434" t="s">
        <v>439</v>
      </c>
      <c r="B434" t="s">
        <v>982</v>
      </c>
      <c r="C434" t="s">
        <v>12</v>
      </c>
      <c r="D434" s="1">
        <v>44595</v>
      </c>
      <c r="E434">
        <v>852918708</v>
      </c>
      <c r="F434" s="1">
        <v>44634</v>
      </c>
      <c r="G434">
        <v>6454</v>
      </c>
      <c r="H434">
        <v>81.73</v>
      </c>
      <c r="I434">
        <v>56.67</v>
      </c>
      <c r="J434">
        <v>527485.42000000004</v>
      </c>
      <c r="K434">
        <v>365748.18</v>
      </c>
    </row>
    <row r="435" spans="1:11" x14ac:dyDescent="0.35">
      <c r="A435" t="s">
        <v>440</v>
      </c>
      <c r="B435" t="s">
        <v>968</v>
      </c>
      <c r="C435" t="s">
        <v>12</v>
      </c>
      <c r="D435" s="1">
        <v>44411</v>
      </c>
      <c r="E435">
        <v>379511392</v>
      </c>
      <c r="F435" s="1">
        <v>44411</v>
      </c>
      <c r="G435">
        <v>4709</v>
      </c>
      <c r="H435">
        <v>152.58000000000001</v>
      </c>
      <c r="I435">
        <v>97.44</v>
      </c>
      <c r="J435">
        <v>718499.22000000009</v>
      </c>
      <c r="K435">
        <v>458844.95999999996</v>
      </c>
    </row>
    <row r="436" spans="1:11" x14ac:dyDescent="0.35">
      <c r="A436" t="s">
        <v>26</v>
      </c>
      <c r="B436" t="s">
        <v>986</v>
      </c>
      <c r="C436" t="s">
        <v>19</v>
      </c>
      <c r="D436" s="1">
        <v>44636</v>
      </c>
      <c r="E436">
        <v>890437877</v>
      </c>
      <c r="F436" s="1">
        <v>44644</v>
      </c>
      <c r="G436">
        <v>9210</v>
      </c>
      <c r="H436">
        <v>154.06</v>
      </c>
      <c r="I436">
        <v>90.93</v>
      </c>
      <c r="J436">
        <v>1418892.6</v>
      </c>
      <c r="K436">
        <v>837465.3</v>
      </c>
    </row>
    <row r="437" spans="1:11" x14ac:dyDescent="0.35">
      <c r="A437" t="s">
        <v>441</v>
      </c>
      <c r="B437" t="s">
        <v>974</v>
      </c>
      <c r="C437" t="s">
        <v>14</v>
      </c>
      <c r="D437" s="1">
        <v>44460</v>
      </c>
      <c r="E437">
        <v>427934491</v>
      </c>
      <c r="F437" s="1">
        <v>44473</v>
      </c>
      <c r="G437">
        <v>4180</v>
      </c>
      <c r="H437">
        <v>9.33</v>
      </c>
      <c r="I437">
        <v>6.92</v>
      </c>
      <c r="J437">
        <v>38999.4</v>
      </c>
      <c r="K437">
        <v>28925.599999999999</v>
      </c>
    </row>
    <row r="438" spans="1:11" x14ac:dyDescent="0.35">
      <c r="A438" t="s">
        <v>442</v>
      </c>
      <c r="B438" t="s">
        <v>990</v>
      </c>
      <c r="C438" t="s">
        <v>14</v>
      </c>
      <c r="D438" s="1">
        <v>44786</v>
      </c>
      <c r="E438">
        <v>704550063</v>
      </c>
      <c r="F438" s="1">
        <v>44791</v>
      </c>
      <c r="G438">
        <v>875</v>
      </c>
      <c r="H438">
        <v>668.27</v>
      </c>
      <c r="I438">
        <v>502.54</v>
      </c>
      <c r="J438">
        <v>584736.25</v>
      </c>
      <c r="K438">
        <v>439722.5</v>
      </c>
    </row>
    <row r="439" spans="1:11" x14ac:dyDescent="0.35">
      <c r="A439" t="s">
        <v>443</v>
      </c>
      <c r="B439" t="s">
        <v>970</v>
      </c>
      <c r="C439" t="s">
        <v>12</v>
      </c>
      <c r="D439" s="1">
        <v>44577</v>
      </c>
      <c r="E439">
        <v>353145921</v>
      </c>
      <c r="F439" s="1">
        <v>44615</v>
      </c>
      <c r="G439">
        <v>2580</v>
      </c>
      <c r="H439">
        <v>421.89</v>
      </c>
      <c r="I439">
        <v>364.69</v>
      </c>
      <c r="J439">
        <v>1088476.2</v>
      </c>
      <c r="K439">
        <v>940900.2</v>
      </c>
    </row>
    <row r="440" spans="1:11" x14ac:dyDescent="0.35">
      <c r="A440" t="s">
        <v>444</v>
      </c>
      <c r="B440" t="s">
        <v>968</v>
      </c>
      <c r="C440" t="s">
        <v>19</v>
      </c>
      <c r="D440" s="1">
        <v>44509</v>
      </c>
      <c r="E440">
        <v>776895892</v>
      </c>
      <c r="F440" s="1">
        <v>44509</v>
      </c>
      <c r="G440">
        <v>9614</v>
      </c>
      <c r="H440">
        <v>152.58000000000001</v>
      </c>
      <c r="I440">
        <v>97.44</v>
      </c>
      <c r="J440">
        <v>1466904.12</v>
      </c>
      <c r="K440">
        <v>936788.16</v>
      </c>
    </row>
    <row r="441" spans="1:11" x14ac:dyDescent="0.35">
      <c r="A441" t="s">
        <v>445</v>
      </c>
      <c r="B441" t="s">
        <v>986</v>
      </c>
      <c r="C441" t="s">
        <v>12</v>
      </c>
      <c r="D441" s="1">
        <v>44361</v>
      </c>
      <c r="E441">
        <v>299286305</v>
      </c>
      <c r="F441" s="1">
        <v>44411</v>
      </c>
      <c r="G441">
        <v>4323</v>
      </c>
      <c r="H441">
        <v>154.06</v>
      </c>
      <c r="I441">
        <v>90.93</v>
      </c>
      <c r="J441">
        <v>666001.38</v>
      </c>
      <c r="K441">
        <v>393090.39</v>
      </c>
    </row>
    <row r="442" spans="1:11" x14ac:dyDescent="0.35">
      <c r="A442" t="s">
        <v>446</v>
      </c>
      <c r="B442" t="s">
        <v>968</v>
      </c>
      <c r="C442" t="s">
        <v>14</v>
      </c>
      <c r="D442" s="1">
        <v>44578</v>
      </c>
      <c r="E442">
        <v>914115989</v>
      </c>
      <c r="F442" s="1">
        <v>44604</v>
      </c>
      <c r="G442">
        <v>6090</v>
      </c>
      <c r="H442">
        <v>152.58000000000001</v>
      </c>
      <c r="I442">
        <v>97.44</v>
      </c>
      <c r="J442">
        <v>929212.20000000007</v>
      </c>
      <c r="K442">
        <v>593409.6</v>
      </c>
    </row>
    <row r="443" spans="1:11" x14ac:dyDescent="0.35">
      <c r="A443" t="s">
        <v>447</v>
      </c>
      <c r="B443" t="s">
        <v>976</v>
      </c>
      <c r="C443" t="s">
        <v>12</v>
      </c>
      <c r="D443" s="1">
        <v>44711</v>
      </c>
      <c r="E443">
        <v>635496270</v>
      </c>
      <c r="F443" s="1">
        <v>44747</v>
      </c>
      <c r="G443">
        <v>6323</v>
      </c>
      <c r="H443">
        <v>255.28</v>
      </c>
      <c r="I443">
        <v>159.41999999999999</v>
      </c>
      <c r="J443">
        <v>1614135.44</v>
      </c>
      <c r="K443">
        <v>1008012.6599999999</v>
      </c>
    </row>
    <row r="444" spans="1:11" x14ac:dyDescent="0.35">
      <c r="A444" t="s">
        <v>448</v>
      </c>
      <c r="B444" t="s">
        <v>970</v>
      </c>
      <c r="C444" t="s">
        <v>14</v>
      </c>
      <c r="D444" s="1">
        <v>43934</v>
      </c>
      <c r="E444">
        <v>247850978</v>
      </c>
      <c r="F444" s="1">
        <v>43959</v>
      </c>
      <c r="G444">
        <v>3467</v>
      </c>
      <c r="H444">
        <v>421.89</v>
      </c>
      <c r="I444">
        <v>364.69</v>
      </c>
      <c r="J444">
        <v>1462692.63</v>
      </c>
      <c r="K444">
        <v>1264380.23</v>
      </c>
    </row>
    <row r="445" spans="1:11" x14ac:dyDescent="0.35">
      <c r="A445" t="s">
        <v>377</v>
      </c>
      <c r="B445" t="s">
        <v>988</v>
      </c>
      <c r="C445" t="s">
        <v>17</v>
      </c>
      <c r="D445" s="1">
        <v>44702</v>
      </c>
      <c r="E445">
        <v>155916440</v>
      </c>
      <c r="F445" s="1">
        <v>44752</v>
      </c>
      <c r="G445">
        <v>7994</v>
      </c>
      <c r="H445">
        <v>109.28</v>
      </c>
      <c r="I445">
        <v>35.840000000000003</v>
      </c>
      <c r="J445">
        <v>873584.32000000007</v>
      </c>
      <c r="K445">
        <v>286504.96000000002</v>
      </c>
    </row>
    <row r="446" spans="1:11" x14ac:dyDescent="0.35">
      <c r="A446" t="s">
        <v>449</v>
      </c>
      <c r="B446" t="s">
        <v>986</v>
      </c>
      <c r="C446" t="s">
        <v>17</v>
      </c>
      <c r="D446" s="1">
        <v>43872</v>
      </c>
      <c r="E446">
        <v>834741485</v>
      </c>
      <c r="F446" s="1">
        <v>43878</v>
      </c>
      <c r="G446">
        <v>7410</v>
      </c>
      <c r="H446">
        <v>154.06</v>
      </c>
      <c r="I446">
        <v>90.93</v>
      </c>
      <c r="J446">
        <v>1141584.6000000001</v>
      </c>
      <c r="K446">
        <v>673791.3</v>
      </c>
    </row>
    <row r="447" spans="1:11" x14ac:dyDescent="0.35">
      <c r="A447" t="s">
        <v>450</v>
      </c>
      <c r="B447" t="s">
        <v>970</v>
      </c>
      <c r="C447" t="s">
        <v>17</v>
      </c>
      <c r="D447" s="1">
        <v>44714</v>
      </c>
      <c r="E447">
        <v>579687440</v>
      </c>
      <c r="F447" s="1">
        <v>44717</v>
      </c>
      <c r="G447">
        <v>1250</v>
      </c>
      <c r="H447">
        <v>421.89</v>
      </c>
      <c r="I447">
        <v>364.69</v>
      </c>
      <c r="J447">
        <v>527362.5</v>
      </c>
      <c r="K447">
        <v>455862.5</v>
      </c>
    </row>
    <row r="448" spans="1:11" x14ac:dyDescent="0.35">
      <c r="A448" t="s">
        <v>451</v>
      </c>
      <c r="B448" t="s">
        <v>982</v>
      </c>
      <c r="C448" t="s">
        <v>14</v>
      </c>
      <c r="D448" s="1">
        <v>43857</v>
      </c>
      <c r="E448">
        <v>456428134</v>
      </c>
      <c r="F448" s="1">
        <v>43896</v>
      </c>
      <c r="G448">
        <v>6083</v>
      </c>
      <c r="H448">
        <v>81.73</v>
      </c>
      <c r="I448">
        <v>56.67</v>
      </c>
      <c r="J448">
        <v>497163.59</v>
      </c>
      <c r="K448">
        <v>344723.61</v>
      </c>
    </row>
    <row r="449" spans="1:11" x14ac:dyDescent="0.35">
      <c r="A449" t="s">
        <v>452</v>
      </c>
      <c r="B449" t="s">
        <v>968</v>
      </c>
      <c r="C449" t="s">
        <v>19</v>
      </c>
      <c r="D449" s="1">
        <v>44343</v>
      </c>
      <c r="E449">
        <v>250949895</v>
      </c>
      <c r="F449" s="1">
        <v>44366</v>
      </c>
      <c r="G449">
        <v>505</v>
      </c>
      <c r="H449">
        <v>152.58000000000001</v>
      </c>
      <c r="I449">
        <v>97.44</v>
      </c>
      <c r="J449">
        <v>77052.900000000009</v>
      </c>
      <c r="K449">
        <v>49207.199999999997</v>
      </c>
    </row>
    <row r="450" spans="1:11" x14ac:dyDescent="0.35">
      <c r="A450" t="s">
        <v>453</v>
      </c>
      <c r="B450" t="s">
        <v>986</v>
      </c>
      <c r="C450" t="s">
        <v>17</v>
      </c>
      <c r="D450" s="1">
        <v>44660</v>
      </c>
      <c r="E450">
        <v>719551551</v>
      </c>
      <c r="F450" s="1">
        <v>44665</v>
      </c>
      <c r="G450">
        <v>149</v>
      </c>
      <c r="H450">
        <v>154.06</v>
      </c>
      <c r="I450">
        <v>90.93</v>
      </c>
      <c r="J450">
        <v>22954.94</v>
      </c>
      <c r="K450">
        <v>13548.570000000002</v>
      </c>
    </row>
    <row r="451" spans="1:11" x14ac:dyDescent="0.35">
      <c r="A451" t="s">
        <v>454</v>
      </c>
      <c r="B451" t="s">
        <v>980</v>
      </c>
      <c r="C451" t="s">
        <v>12</v>
      </c>
      <c r="D451" s="1">
        <v>44489</v>
      </c>
      <c r="E451">
        <v>438844430</v>
      </c>
      <c r="F451" s="1">
        <v>44537</v>
      </c>
      <c r="G451">
        <v>2674</v>
      </c>
      <c r="H451">
        <v>437.2</v>
      </c>
      <c r="I451">
        <v>263.33</v>
      </c>
      <c r="J451">
        <v>1169072.8</v>
      </c>
      <c r="K451">
        <v>704144.41999999993</v>
      </c>
    </row>
    <row r="452" spans="1:11" x14ac:dyDescent="0.35">
      <c r="A452" t="s">
        <v>455</v>
      </c>
      <c r="B452" t="s">
        <v>986</v>
      </c>
      <c r="C452" t="s">
        <v>12</v>
      </c>
      <c r="D452" s="1">
        <v>44180</v>
      </c>
      <c r="E452">
        <v>755752360</v>
      </c>
      <c r="F452" s="1">
        <v>44230</v>
      </c>
      <c r="G452">
        <v>2773</v>
      </c>
      <c r="H452">
        <v>154.06</v>
      </c>
      <c r="I452">
        <v>90.93</v>
      </c>
      <c r="J452">
        <v>427208.38</v>
      </c>
      <c r="K452">
        <v>252148.89</v>
      </c>
    </row>
    <row r="453" spans="1:11" x14ac:dyDescent="0.35">
      <c r="A453" t="s">
        <v>456</v>
      </c>
      <c r="B453" t="s">
        <v>988</v>
      </c>
      <c r="C453" t="s">
        <v>12</v>
      </c>
      <c r="D453" s="1">
        <v>44228</v>
      </c>
      <c r="E453">
        <v>837511670</v>
      </c>
      <c r="F453" s="1">
        <v>44255</v>
      </c>
      <c r="G453">
        <v>7169</v>
      </c>
      <c r="H453">
        <v>109.28</v>
      </c>
      <c r="I453">
        <v>35.840000000000003</v>
      </c>
      <c r="J453">
        <v>783428.32000000007</v>
      </c>
      <c r="K453">
        <v>256936.96000000002</v>
      </c>
    </row>
    <row r="454" spans="1:11" x14ac:dyDescent="0.35">
      <c r="A454" t="s">
        <v>457</v>
      </c>
      <c r="B454" t="s">
        <v>980</v>
      </c>
      <c r="C454" t="s">
        <v>19</v>
      </c>
      <c r="D454" s="1">
        <v>44754</v>
      </c>
      <c r="E454">
        <v>821671187</v>
      </c>
      <c r="F454" s="1">
        <v>44784</v>
      </c>
      <c r="G454">
        <v>9619</v>
      </c>
      <c r="H454">
        <v>437.2</v>
      </c>
      <c r="I454">
        <v>263.33</v>
      </c>
      <c r="J454">
        <v>4205426.8</v>
      </c>
      <c r="K454">
        <v>2532971.27</v>
      </c>
    </row>
    <row r="455" spans="1:11" x14ac:dyDescent="0.35">
      <c r="A455" t="s">
        <v>458</v>
      </c>
      <c r="B455" t="s">
        <v>986</v>
      </c>
      <c r="C455" t="s">
        <v>19</v>
      </c>
      <c r="D455" s="1">
        <v>43938</v>
      </c>
      <c r="E455">
        <v>466092240</v>
      </c>
      <c r="F455" s="1">
        <v>43964</v>
      </c>
      <c r="G455">
        <v>5906</v>
      </c>
      <c r="H455">
        <v>154.06</v>
      </c>
      <c r="I455">
        <v>90.93</v>
      </c>
      <c r="J455">
        <v>909878.36</v>
      </c>
      <c r="K455">
        <v>537032.58000000007</v>
      </c>
    </row>
    <row r="456" spans="1:11" x14ac:dyDescent="0.35">
      <c r="A456" t="s">
        <v>459</v>
      </c>
      <c r="B456" t="s">
        <v>976</v>
      </c>
      <c r="C456" t="s">
        <v>19</v>
      </c>
      <c r="D456" s="1">
        <v>44804</v>
      </c>
      <c r="E456">
        <v>498948657</v>
      </c>
      <c r="F456" s="1">
        <v>44820</v>
      </c>
      <c r="G456">
        <v>8850</v>
      </c>
      <c r="H456">
        <v>255.28</v>
      </c>
      <c r="I456">
        <v>159.41999999999999</v>
      </c>
      <c r="J456">
        <v>2259228</v>
      </c>
      <c r="K456">
        <v>1410867</v>
      </c>
    </row>
    <row r="457" spans="1:11" x14ac:dyDescent="0.35">
      <c r="A457" t="s">
        <v>460</v>
      </c>
      <c r="B457" t="s">
        <v>990</v>
      </c>
      <c r="C457" t="s">
        <v>17</v>
      </c>
      <c r="D457" s="1">
        <v>44260</v>
      </c>
      <c r="E457">
        <v>368726766</v>
      </c>
      <c r="F457" s="1">
        <v>44279</v>
      </c>
      <c r="G457">
        <v>3299</v>
      </c>
      <c r="H457">
        <v>668.27</v>
      </c>
      <c r="I457">
        <v>502.54</v>
      </c>
      <c r="J457">
        <v>2204622.73</v>
      </c>
      <c r="K457">
        <v>1657879.46</v>
      </c>
    </row>
    <row r="458" spans="1:11" x14ac:dyDescent="0.35">
      <c r="A458" t="s">
        <v>30</v>
      </c>
      <c r="B458" t="s">
        <v>978</v>
      </c>
      <c r="C458" t="s">
        <v>17</v>
      </c>
      <c r="D458" s="1">
        <v>44058</v>
      </c>
      <c r="E458">
        <v>494225394</v>
      </c>
      <c r="F458" s="1">
        <v>44098</v>
      </c>
      <c r="G458">
        <v>1132</v>
      </c>
      <c r="H458">
        <v>47.45</v>
      </c>
      <c r="I458">
        <v>31.79</v>
      </c>
      <c r="J458">
        <v>53713.4</v>
      </c>
      <c r="K458">
        <v>35986.28</v>
      </c>
    </row>
    <row r="459" spans="1:11" x14ac:dyDescent="0.35">
      <c r="A459" t="s">
        <v>461</v>
      </c>
      <c r="B459" t="s">
        <v>980</v>
      </c>
      <c r="C459" t="s">
        <v>17</v>
      </c>
      <c r="D459" s="1">
        <v>44007</v>
      </c>
      <c r="E459">
        <v>914555871</v>
      </c>
      <c r="F459" s="1">
        <v>44054</v>
      </c>
      <c r="G459">
        <v>6261</v>
      </c>
      <c r="H459">
        <v>437.2</v>
      </c>
      <c r="I459">
        <v>263.33</v>
      </c>
      <c r="J459">
        <v>2737309.1999999997</v>
      </c>
      <c r="K459">
        <v>1648709.13</v>
      </c>
    </row>
    <row r="460" spans="1:11" x14ac:dyDescent="0.35">
      <c r="A460" t="s">
        <v>462</v>
      </c>
      <c r="B460" t="s">
        <v>988</v>
      </c>
      <c r="C460" t="s">
        <v>19</v>
      </c>
      <c r="D460" s="1">
        <v>44589</v>
      </c>
      <c r="E460">
        <v>839142024</v>
      </c>
      <c r="F460" s="1">
        <v>44635</v>
      </c>
      <c r="G460">
        <v>9627</v>
      </c>
      <c r="H460">
        <v>109.28</v>
      </c>
      <c r="I460">
        <v>35.840000000000003</v>
      </c>
      <c r="J460">
        <v>1052038.56</v>
      </c>
      <c r="K460">
        <v>345031.68000000005</v>
      </c>
    </row>
    <row r="461" spans="1:11" x14ac:dyDescent="0.35">
      <c r="A461" t="s">
        <v>463</v>
      </c>
      <c r="B461" t="s">
        <v>978</v>
      </c>
      <c r="C461" t="s">
        <v>19</v>
      </c>
      <c r="D461" s="1">
        <v>44342</v>
      </c>
      <c r="E461">
        <v>897720181</v>
      </c>
      <c r="F461" s="1">
        <v>44349</v>
      </c>
      <c r="G461">
        <v>4206</v>
      </c>
      <c r="H461">
        <v>47.45</v>
      </c>
      <c r="I461">
        <v>31.79</v>
      </c>
      <c r="J461">
        <v>199574.7</v>
      </c>
      <c r="K461">
        <v>133708.74</v>
      </c>
    </row>
    <row r="462" spans="1:11" x14ac:dyDescent="0.35">
      <c r="A462" t="s">
        <v>464</v>
      </c>
      <c r="B462" t="s">
        <v>978</v>
      </c>
      <c r="C462" t="s">
        <v>12</v>
      </c>
      <c r="D462" s="1">
        <v>44560</v>
      </c>
      <c r="E462">
        <v>890339171</v>
      </c>
      <c r="F462" s="1">
        <v>44601</v>
      </c>
      <c r="G462">
        <v>1</v>
      </c>
      <c r="H462">
        <v>47.45</v>
      </c>
      <c r="I462">
        <v>31.79</v>
      </c>
      <c r="J462">
        <v>47.45</v>
      </c>
      <c r="K462">
        <v>31.79</v>
      </c>
    </row>
    <row r="463" spans="1:11" x14ac:dyDescent="0.35">
      <c r="A463" t="s">
        <v>465</v>
      </c>
      <c r="B463" t="s">
        <v>968</v>
      </c>
      <c r="C463" t="s">
        <v>17</v>
      </c>
      <c r="D463" s="1">
        <v>44599</v>
      </c>
      <c r="E463">
        <v>237360322</v>
      </c>
      <c r="F463" s="1">
        <v>44616</v>
      </c>
      <c r="G463">
        <v>9049</v>
      </c>
      <c r="H463">
        <v>152.58000000000001</v>
      </c>
      <c r="I463">
        <v>97.44</v>
      </c>
      <c r="J463">
        <v>1380696.4200000002</v>
      </c>
      <c r="K463">
        <v>881734.55999999994</v>
      </c>
    </row>
    <row r="464" spans="1:11" x14ac:dyDescent="0.35">
      <c r="A464" t="s">
        <v>466</v>
      </c>
      <c r="B464" t="s">
        <v>988</v>
      </c>
      <c r="C464" t="s">
        <v>14</v>
      </c>
      <c r="D464" s="1">
        <v>44480</v>
      </c>
      <c r="E464">
        <v>229457461</v>
      </c>
      <c r="F464" s="1">
        <v>44526</v>
      </c>
      <c r="G464">
        <v>417</v>
      </c>
      <c r="H464">
        <v>109.28</v>
      </c>
      <c r="I464">
        <v>35.840000000000003</v>
      </c>
      <c r="J464">
        <v>45569.760000000002</v>
      </c>
      <c r="K464">
        <v>14945.28</v>
      </c>
    </row>
    <row r="465" spans="1:11" x14ac:dyDescent="0.35">
      <c r="A465" t="s">
        <v>467</v>
      </c>
      <c r="B465" t="s">
        <v>982</v>
      </c>
      <c r="C465" t="s">
        <v>19</v>
      </c>
      <c r="D465" s="1">
        <v>44375</v>
      </c>
      <c r="E465">
        <v>877616918</v>
      </c>
      <c r="F465" s="1">
        <v>44375</v>
      </c>
      <c r="G465">
        <v>5203</v>
      </c>
      <c r="H465">
        <v>81.73</v>
      </c>
      <c r="I465">
        <v>56.67</v>
      </c>
      <c r="J465">
        <v>425241.19</v>
      </c>
      <c r="K465">
        <v>294854.01</v>
      </c>
    </row>
    <row r="466" spans="1:11" x14ac:dyDescent="0.35">
      <c r="A466" t="s">
        <v>468</v>
      </c>
      <c r="B466" t="s">
        <v>986</v>
      </c>
      <c r="C466" t="s">
        <v>17</v>
      </c>
      <c r="D466" s="1">
        <v>44076</v>
      </c>
      <c r="E466">
        <v>463137519</v>
      </c>
      <c r="F466" s="1">
        <v>44118</v>
      </c>
      <c r="G466">
        <v>1539</v>
      </c>
      <c r="H466">
        <v>154.06</v>
      </c>
      <c r="I466">
        <v>90.93</v>
      </c>
      <c r="J466">
        <v>237098.34</v>
      </c>
      <c r="K466">
        <v>139941.27000000002</v>
      </c>
    </row>
    <row r="467" spans="1:11" x14ac:dyDescent="0.35">
      <c r="A467" t="s">
        <v>469</v>
      </c>
      <c r="B467" t="s">
        <v>982</v>
      </c>
      <c r="C467" t="s">
        <v>12</v>
      </c>
      <c r="D467" s="1">
        <v>44571</v>
      </c>
      <c r="E467">
        <v>487630593</v>
      </c>
      <c r="F467" s="1">
        <v>44617</v>
      </c>
      <c r="G467">
        <v>9584</v>
      </c>
      <c r="H467">
        <v>81.73</v>
      </c>
      <c r="I467">
        <v>56.67</v>
      </c>
      <c r="J467">
        <v>783300.32000000007</v>
      </c>
      <c r="K467">
        <v>543125.28</v>
      </c>
    </row>
    <row r="468" spans="1:11" x14ac:dyDescent="0.35">
      <c r="A468" t="s">
        <v>470</v>
      </c>
      <c r="B468" t="s">
        <v>986</v>
      </c>
      <c r="C468" t="s">
        <v>12</v>
      </c>
      <c r="D468" s="1">
        <v>44380</v>
      </c>
      <c r="E468">
        <v>723019969</v>
      </c>
      <c r="F468" s="1">
        <v>44404</v>
      </c>
      <c r="G468">
        <v>6531</v>
      </c>
      <c r="H468">
        <v>154.06</v>
      </c>
      <c r="I468">
        <v>90.93</v>
      </c>
      <c r="J468">
        <v>1006165.86</v>
      </c>
      <c r="K468">
        <v>593863.83000000007</v>
      </c>
    </row>
    <row r="469" spans="1:11" x14ac:dyDescent="0.35">
      <c r="A469" t="s">
        <v>471</v>
      </c>
      <c r="B469" t="s">
        <v>976</v>
      </c>
      <c r="C469" t="s">
        <v>19</v>
      </c>
      <c r="D469" s="1">
        <v>44261</v>
      </c>
      <c r="E469">
        <v>561541974</v>
      </c>
      <c r="F469" s="1">
        <v>44265</v>
      </c>
      <c r="G469">
        <v>1604</v>
      </c>
      <c r="H469">
        <v>255.28</v>
      </c>
      <c r="I469">
        <v>159.41999999999999</v>
      </c>
      <c r="J469">
        <v>409469.12</v>
      </c>
      <c r="K469">
        <v>255709.68</v>
      </c>
    </row>
    <row r="470" spans="1:11" x14ac:dyDescent="0.35">
      <c r="A470" t="s">
        <v>472</v>
      </c>
      <c r="B470" t="s">
        <v>986</v>
      </c>
      <c r="C470" t="s">
        <v>14</v>
      </c>
      <c r="D470" s="1">
        <v>44596</v>
      </c>
      <c r="E470">
        <v>365745437</v>
      </c>
      <c r="F470" s="1">
        <v>44596</v>
      </c>
      <c r="G470">
        <v>1057</v>
      </c>
      <c r="H470">
        <v>154.06</v>
      </c>
      <c r="I470">
        <v>90.93</v>
      </c>
      <c r="J470">
        <v>162841.42000000001</v>
      </c>
      <c r="K470">
        <v>96113.010000000009</v>
      </c>
    </row>
    <row r="471" spans="1:11" x14ac:dyDescent="0.35">
      <c r="A471" t="s">
        <v>473</v>
      </c>
      <c r="B471" t="s">
        <v>990</v>
      </c>
      <c r="C471" t="s">
        <v>14</v>
      </c>
      <c r="D471" s="1">
        <v>44869</v>
      </c>
      <c r="E471">
        <v>118491685</v>
      </c>
      <c r="F471" s="1">
        <v>44909</v>
      </c>
      <c r="G471">
        <v>3178</v>
      </c>
      <c r="H471">
        <v>668.27</v>
      </c>
      <c r="I471">
        <v>502.54</v>
      </c>
      <c r="J471">
        <v>2123762.06</v>
      </c>
      <c r="K471">
        <v>1597072.12</v>
      </c>
    </row>
    <row r="472" spans="1:11" x14ac:dyDescent="0.35">
      <c r="A472" t="s">
        <v>474</v>
      </c>
      <c r="B472" t="s">
        <v>990</v>
      </c>
      <c r="C472" t="s">
        <v>14</v>
      </c>
      <c r="D472" s="1">
        <v>44190</v>
      </c>
      <c r="E472">
        <v>772954547</v>
      </c>
      <c r="F472" s="1">
        <v>44230</v>
      </c>
      <c r="G472">
        <v>3282</v>
      </c>
      <c r="H472">
        <v>668.27</v>
      </c>
      <c r="I472">
        <v>502.54</v>
      </c>
      <c r="J472">
        <v>2193262.14</v>
      </c>
      <c r="K472">
        <v>1649336.28</v>
      </c>
    </row>
    <row r="473" spans="1:11" x14ac:dyDescent="0.35">
      <c r="A473" t="s">
        <v>475</v>
      </c>
      <c r="B473" t="s">
        <v>986</v>
      </c>
      <c r="C473" t="s">
        <v>19</v>
      </c>
      <c r="D473" s="1">
        <v>43903</v>
      </c>
      <c r="E473">
        <v>202620351</v>
      </c>
      <c r="F473" s="1">
        <v>43932</v>
      </c>
      <c r="G473">
        <v>8719</v>
      </c>
      <c r="H473">
        <v>154.06</v>
      </c>
      <c r="I473">
        <v>90.93</v>
      </c>
      <c r="J473">
        <v>1343249.1400000001</v>
      </c>
      <c r="K473">
        <v>792818.67</v>
      </c>
    </row>
    <row r="474" spans="1:11" x14ac:dyDescent="0.35">
      <c r="A474" t="s">
        <v>476</v>
      </c>
      <c r="B474" t="s">
        <v>974</v>
      </c>
      <c r="C474" t="s">
        <v>17</v>
      </c>
      <c r="D474" s="1">
        <v>43933</v>
      </c>
      <c r="E474">
        <v>851287925</v>
      </c>
      <c r="F474" s="1">
        <v>43957</v>
      </c>
      <c r="G474">
        <v>3869</v>
      </c>
      <c r="H474">
        <v>9.33</v>
      </c>
      <c r="I474">
        <v>6.92</v>
      </c>
      <c r="J474">
        <v>36097.769999999997</v>
      </c>
      <c r="K474">
        <v>26773.48</v>
      </c>
    </row>
    <row r="475" spans="1:11" x14ac:dyDescent="0.35">
      <c r="A475" t="s">
        <v>477</v>
      </c>
      <c r="B475" t="s">
        <v>986</v>
      </c>
      <c r="C475" t="s">
        <v>12</v>
      </c>
      <c r="D475" s="1">
        <v>44352</v>
      </c>
      <c r="E475">
        <v>283068597</v>
      </c>
      <c r="F475" s="1">
        <v>44360</v>
      </c>
      <c r="G475">
        <v>5143</v>
      </c>
      <c r="H475">
        <v>154.06</v>
      </c>
      <c r="I475">
        <v>90.93</v>
      </c>
      <c r="J475">
        <v>792330.58</v>
      </c>
      <c r="K475">
        <v>467652.99000000005</v>
      </c>
    </row>
    <row r="476" spans="1:11" x14ac:dyDescent="0.35">
      <c r="A476" t="s">
        <v>478</v>
      </c>
      <c r="B476" t="s">
        <v>978</v>
      </c>
      <c r="C476" t="s">
        <v>19</v>
      </c>
      <c r="D476" s="1">
        <v>44857</v>
      </c>
      <c r="E476">
        <v>632386195</v>
      </c>
      <c r="F476" s="1">
        <v>44907</v>
      </c>
      <c r="G476">
        <v>5983</v>
      </c>
      <c r="H476">
        <v>47.45</v>
      </c>
      <c r="I476">
        <v>31.79</v>
      </c>
      <c r="J476">
        <v>283893.35000000003</v>
      </c>
      <c r="K476">
        <v>190199.57</v>
      </c>
    </row>
    <row r="477" spans="1:11" x14ac:dyDescent="0.35">
      <c r="A477" t="s">
        <v>479</v>
      </c>
      <c r="B477" t="s">
        <v>968</v>
      </c>
      <c r="C477" t="s">
        <v>12</v>
      </c>
      <c r="D477" s="1">
        <v>44247</v>
      </c>
      <c r="E477">
        <v>953977048</v>
      </c>
      <c r="F477" s="1">
        <v>44277</v>
      </c>
      <c r="G477">
        <v>1863</v>
      </c>
      <c r="H477">
        <v>152.58000000000001</v>
      </c>
      <c r="I477">
        <v>97.44</v>
      </c>
      <c r="J477">
        <v>284256.54000000004</v>
      </c>
      <c r="K477">
        <v>181530.72</v>
      </c>
    </row>
    <row r="478" spans="1:11" x14ac:dyDescent="0.35">
      <c r="A478" t="s">
        <v>480</v>
      </c>
      <c r="B478" t="s">
        <v>980</v>
      </c>
      <c r="C478" t="s">
        <v>17</v>
      </c>
      <c r="D478" s="1">
        <v>44078</v>
      </c>
      <c r="E478">
        <v>372889983</v>
      </c>
      <c r="F478" s="1">
        <v>44099</v>
      </c>
      <c r="G478">
        <v>5287</v>
      </c>
      <c r="H478">
        <v>437.2</v>
      </c>
      <c r="I478">
        <v>263.33</v>
      </c>
      <c r="J478">
        <v>2311476.4</v>
      </c>
      <c r="K478">
        <v>1392225.71</v>
      </c>
    </row>
    <row r="479" spans="1:11" x14ac:dyDescent="0.35">
      <c r="A479" t="s">
        <v>481</v>
      </c>
      <c r="B479" t="s">
        <v>988</v>
      </c>
      <c r="C479" t="s">
        <v>19</v>
      </c>
      <c r="D479" s="1">
        <v>43966</v>
      </c>
      <c r="E479">
        <v>334486329</v>
      </c>
      <c r="F479" s="1">
        <v>43973</v>
      </c>
      <c r="G479">
        <v>793</v>
      </c>
      <c r="H479">
        <v>109.28</v>
      </c>
      <c r="I479">
        <v>35.840000000000003</v>
      </c>
      <c r="J479">
        <v>86659.040000000008</v>
      </c>
      <c r="K479">
        <v>28421.120000000003</v>
      </c>
    </row>
    <row r="480" spans="1:11" x14ac:dyDescent="0.35">
      <c r="A480" t="s">
        <v>482</v>
      </c>
      <c r="B480" t="s">
        <v>986</v>
      </c>
      <c r="C480" t="s">
        <v>19</v>
      </c>
      <c r="D480" s="1">
        <v>44194</v>
      </c>
      <c r="E480">
        <v>554439914</v>
      </c>
      <c r="F480" s="1">
        <v>44204</v>
      </c>
      <c r="G480">
        <v>9946</v>
      </c>
      <c r="H480">
        <v>154.06</v>
      </c>
      <c r="I480">
        <v>90.93</v>
      </c>
      <c r="J480">
        <v>1532280.76</v>
      </c>
      <c r="K480">
        <v>904389.78</v>
      </c>
    </row>
    <row r="481" spans="1:11" x14ac:dyDescent="0.35">
      <c r="A481" t="s">
        <v>460</v>
      </c>
      <c r="B481" t="s">
        <v>990</v>
      </c>
      <c r="C481" t="s">
        <v>19</v>
      </c>
      <c r="D481" s="1">
        <v>44150</v>
      </c>
      <c r="E481">
        <v>368737065</v>
      </c>
      <c r="F481" s="1">
        <v>44166</v>
      </c>
      <c r="G481">
        <v>6347</v>
      </c>
      <c r="H481">
        <v>668.27</v>
      </c>
      <c r="I481">
        <v>502.54</v>
      </c>
      <c r="J481">
        <v>4241509.6899999995</v>
      </c>
      <c r="K481">
        <v>3189621.3800000004</v>
      </c>
    </row>
    <row r="482" spans="1:11" x14ac:dyDescent="0.35">
      <c r="A482" t="s">
        <v>483</v>
      </c>
      <c r="B482" t="s">
        <v>984</v>
      </c>
      <c r="C482" t="s">
        <v>17</v>
      </c>
      <c r="D482" s="1">
        <v>43889</v>
      </c>
      <c r="E482">
        <v>983676612</v>
      </c>
      <c r="F482" s="1">
        <v>43939</v>
      </c>
      <c r="G482">
        <v>624</v>
      </c>
      <c r="H482">
        <v>651.21</v>
      </c>
      <c r="I482">
        <v>524.96</v>
      </c>
      <c r="J482">
        <v>406355.04000000004</v>
      </c>
      <c r="K482">
        <v>327575.04000000004</v>
      </c>
    </row>
    <row r="483" spans="1:11" x14ac:dyDescent="0.35">
      <c r="A483" t="s">
        <v>484</v>
      </c>
      <c r="B483" t="s">
        <v>972</v>
      </c>
      <c r="C483" t="s">
        <v>19</v>
      </c>
      <c r="D483" s="1">
        <v>44657</v>
      </c>
      <c r="E483">
        <v>525869882</v>
      </c>
      <c r="F483" s="1">
        <v>44703</v>
      </c>
      <c r="G483">
        <v>5439</v>
      </c>
      <c r="H483">
        <v>205.7</v>
      </c>
      <c r="I483">
        <v>117.11</v>
      </c>
      <c r="J483">
        <v>1118802.3</v>
      </c>
      <c r="K483">
        <v>636961.29</v>
      </c>
    </row>
    <row r="484" spans="1:11" x14ac:dyDescent="0.35">
      <c r="A484" t="s">
        <v>485</v>
      </c>
      <c r="B484" t="s">
        <v>974</v>
      </c>
      <c r="C484" t="s">
        <v>14</v>
      </c>
      <c r="D484" s="1">
        <v>44193</v>
      </c>
      <c r="E484">
        <v>792240703</v>
      </c>
      <c r="F484" s="1">
        <v>44225</v>
      </c>
      <c r="G484">
        <v>484</v>
      </c>
      <c r="H484">
        <v>9.33</v>
      </c>
      <c r="I484">
        <v>6.92</v>
      </c>
      <c r="J484">
        <v>4515.72</v>
      </c>
      <c r="K484">
        <v>3349.2799999999997</v>
      </c>
    </row>
    <row r="485" spans="1:11" x14ac:dyDescent="0.35">
      <c r="A485" t="s">
        <v>486</v>
      </c>
      <c r="B485" t="s">
        <v>972</v>
      </c>
      <c r="C485" t="s">
        <v>14</v>
      </c>
      <c r="D485" s="1">
        <v>44560</v>
      </c>
      <c r="E485">
        <v>500025403</v>
      </c>
      <c r="F485" s="1">
        <v>44607</v>
      </c>
      <c r="G485">
        <v>7483</v>
      </c>
      <c r="H485">
        <v>205.7</v>
      </c>
      <c r="I485">
        <v>117.11</v>
      </c>
      <c r="J485">
        <v>1539253.0999999999</v>
      </c>
      <c r="K485">
        <v>876334.13</v>
      </c>
    </row>
    <row r="486" spans="1:11" x14ac:dyDescent="0.35">
      <c r="A486" t="s">
        <v>487</v>
      </c>
      <c r="B486" t="s">
        <v>974</v>
      </c>
      <c r="C486" t="s">
        <v>17</v>
      </c>
      <c r="D486" s="1">
        <v>44311</v>
      </c>
      <c r="E486">
        <v>236772811</v>
      </c>
      <c r="F486" s="1">
        <v>44327</v>
      </c>
      <c r="G486">
        <v>5191</v>
      </c>
      <c r="H486">
        <v>9.33</v>
      </c>
      <c r="I486">
        <v>6.92</v>
      </c>
      <c r="J486">
        <v>48432.03</v>
      </c>
      <c r="K486">
        <v>35921.72</v>
      </c>
    </row>
    <row r="487" spans="1:11" x14ac:dyDescent="0.35">
      <c r="A487" t="s">
        <v>488</v>
      </c>
      <c r="B487" t="s">
        <v>990</v>
      </c>
      <c r="C487" t="s">
        <v>19</v>
      </c>
      <c r="D487" s="1">
        <v>44238</v>
      </c>
      <c r="E487">
        <v>210344254</v>
      </c>
      <c r="F487" s="1">
        <v>44270</v>
      </c>
      <c r="G487">
        <v>4394</v>
      </c>
      <c r="H487">
        <v>668.27</v>
      </c>
      <c r="I487">
        <v>502.54</v>
      </c>
      <c r="J487">
        <v>2936378.38</v>
      </c>
      <c r="K487">
        <v>2208160.7600000002</v>
      </c>
    </row>
    <row r="488" spans="1:11" x14ac:dyDescent="0.35">
      <c r="A488" t="s">
        <v>489</v>
      </c>
      <c r="B488" t="s">
        <v>988</v>
      </c>
      <c r="C488" t="s">
        <v>12</v>
      </c>
      <c r="D488" s="1">
        <v>44754</v>
      </c>
      <c r="E488">
        <v>698913562</v>
      </c>
      <c r="F488" s="1">
        <v>44775</v>
      </c>
      <c r="G488">
        <v>2909</v>
      </c>
      <c r="H488">
        <v>109.28</v>
      </c>
      <c r="I488">
        <v>35.840000000000003</v>
      </c>
      <c r="J488">
        <v>317895.52</v>
      </c>
      <c r="K488">
        <v>104258.56000000001</v>
      </c>
    </row>
    <row r="489" spans="1:11" x14ac:dyDescent="0.35">
      <c r="A489" t="s">
        <v>490</v>
      </c>
      <c r="B489" t="s">
        <v>986</v>
      </c>
      <c r="C489" t="s">
        <v>19</v>
      </c>
      <c r="D489" s="1">
        <v>44333</v>
      </c>
      <c r="E489">
        <v>700967061</v>
      </c>
      <c r="F489" s="1">
        <v>44360</v>
      </c>
      <c r="G489">
        <v>585</v>
      </c>
      <c r="H489">
        <v>154.06</v>
      </c>
      <c r="I489">
        <v>90.93</v>
      </c>
      <c r="J489">
        <v>90125.1</v>
      </c>
      <c r="K489">
        <v>53194.05</v>
      </c>
    </row>
    <row r="490" spans="1:11" x14ac:dyDescent="0.35">
      <c r="A490" t="s">
        <v>491</v>
      </c>
      <c r="B490" t="s">
        <v>988</v>
      </c>
      <c r="C490" t="s">
        <v>17</v>
      </c>
      <c r="D490" s="1">
        <v>44204</v>
      </c>
      <c r="E490">
        <v>185303580</v>
      </c>
      <c r="F490" s="1">
        <v>44234</v>
      </c>
      <c r="G490">
        <v>4302</v>
      </c>
      <c r="H490">
        <v>109.28</v>
      </c>
      <c r="I490">
        <v>35.840000000000003</v>
      </c>
      <c r="J490">
        <v>470122.56</v>
      </c>
      <c r="K490">
        <v>154183.68000000002</v>
      </c>
    </row>
    <row r="491" spans="1:11" x14ac:dyDescent="0.35">
      <c r="A491" t="s">
        <v>492</v>
      </c>
      <c r="B491" t="s">
        <v>982</v>
      </c>
      <c r="C491" t="s">
        <v>14</v>
      </c>
      <c r="D491" s="1">
        <v>44701</v>
      </c>
      <c r="E491">
        <v>541034448</v>
      </c>
      <c r="F491" s="1">
        <v>44723</v>
      </c>
      <c r="G491">
        <v>2971</v>
      </c>
      <c r="H491">
        <v>81.73</v>
      </c>
      <c r="I491">
        <v>56.67</v>
      </c>
      <c r="J491">
        <v>242819.83000000002</v>
      </c>
      <c r="K491">
        <v>168366.57</v>
      </c>
    </row>
    <row r="492" spans="1:11" x14ac:dyDescent="0.35">
      <c r="A492" t="s">
        <v>493</v>
      </c>
      <c r="B492" t="s">
        <v>976</v>
      </c>
      <c r="C492" t="s">
        <v>17</v>
      </c>
      <c r="D492" s="1">
        <v>44737</v>
      </c>
      <c r="E492">
        <v>527583491</v>
      </c>
      <c r="F492" s="1">
        <v>44773</v>
      </c>
      <c r="G492">
        <v>2534</v>
      </c>
      <c r="H492">
        <v>255.28</v>
      </c>
      <c r="I492">
        <v>159.41999999999999</v>
      </c>
      <c r="J492">
        <v>646879.52</v>
      </c>
      <c r="K492">
        <v>403970.27999999997</v>
      </c>
    </row>
    <row r="493" spans="1:11" x14ac:dyDescent="0.35">
      <c r="A493" t="s">
        <v>494</v>
      </c>
      <c r="B493" t="s">
        <v>982</v>
      </c>
      <c r="C493" t="s">
        <v>12</v>
      </c>
      <c r="D493" s="1">
        <v>44417</v>
      </c>
      <c r="E493">
        <v>324687039</v>
      </c>
      <c r="F493" s="1">
        <v>44433</v>
      </c>
      <c r="G493">
        <v>965</v>
      </c>
      <c r="H493">
        <v>81.73</v>
      </c>
      <c r="I493">
        <v>56.67</v>
      </c>
      <c r="J493">
        <v>78869.45</v>
      </c>
      <c r="K493">
        <v>54686.55</v>
      </c>
    </row>
    <row r="494" spans="1:11" x14ac:dyDescent="0.35">
      <c r="A494" t="s">
        <v>495</v>
      </c>
      <c r="B494" t="s">
        <v>980</v>
      </c>
      <c r="C494" t="s">
        <v>19</v>
      </c>
      <c r="D494" s="1">
        <v>44513</v>
      </c>
      <c r="E494">
        <v>182393920</v>
      </c>
      <c r="F494" s="1">
        <v>44561</v>
      </c>
      <c r="G494">
        <v>3269</v>
      </c>
      <c r="H494">
        <v>437.2</v>
      </c>
      <c r="I494">
        <v>263.33</v>
      </c>
      <c r="J494">
        <v>1429206.8</v>
      </c>
      <c r="K494">
        <v>860825.7699999999</v>
      </c>
    </row>
    <row r="495" spans="1:11" x14ac:dyDescent="0.35">
      <c r="A495" t="s">
        <v>496</v>
      </c>
      <c r="B495" t="s">
        <v>974</v>
      </c>
      <c r="C495" t="s">
        <v>12</v>
      </c>
      <c r="D495" s="1">
        <v>43859</v>
      </c>
      <c r="E495">
        <v>871065461</v>
      </c>
      <c r="F495" s="1">
        <v>43884</v>
      </c>
      <c r="G495">
        <v>6482</v>
      </c>
      <c r="H495">
        <v>9.33</v>
      </c>
      <c r="I495">
        <v>6.92</v>
      </c>
      <c r="J495">
        <v>60477.06</v>
      </c>
      <c r="K495">
        <v>44855.44</v>
      </c>
    </row>
    <row r="496" spans="1:11" x14ac:dyDescent="0.35">
      <c r="A496" t="s">
        <v>497</v>
      </c>
      <c r="B496" t="s">
        <v>984</v>
      </c>
      <c r="C496" t="s">
        <v>14</v>
      </c>
      <c r="D496" s="1">
        <v>44043</v>
      </c>
      <c r="E496">
        <v>531375491</v>
      </c>
      <c r="F496" s="1">
        <v>44077</v>
      </c>
      <c r="G496">
        <v>4671</v>
      </c>
      <c r="H496">
        <v>651.21</v>
      </c>
      <c r="I496">
        <v>524.96</v>
      </c>
      <c r="J496">
        <v>3041801.91</v>
      </c>
      <c r="K496">
        <v>2452088.16</v>
      </c>
    </row>
    <row r="497" spans="1:11" x14ac:dyDescent="0.35">
      <c r="A497" t="s">
        <v>498</v>
      </c>
      <c r="B497" t="s">
        <v>972</v>
      </c>
      <c r="C497" t="s">
        <v>17</v>
      </c>
      <c r="D497" s="1">
        <v>44713</v>
      </c>
      <c r="E497">
        <v>524310338</v>
      </c>
      <c r="F497" s="1">
        <v>44735</v>
      </c>
      <c r="G497">
        <v>3935</v>
      </c>
      <c r="H497">
        <v>205.7</v>
      </c>
      <c r="I497">
        <v>117.11</v>
      </c>
      <c r="J497">
        <v>809429.5</v>
      </c>
      <c r="K497">
        <v>460827.85</v>
      </c>
    </row>
    <row r="498" spans="1:11" x14ac:dyDescent="0.35">
      <c r="A498" t="s">
        <v>499</v>
      </c>
      <c r="B498" t="s">
        <v>968</v>
      </c>
      <c r="C498" t="s">
        <v>14</v>
      </c>
      <c r="D498" s="1">
        <v>44097</v>
      </c>
      <c r="E498">
        <v>481168830</v>
      </c>
      <c r="F498" s="1">
        <v>44124</v>
      </c>
      <c r="G498">
        <v>7404</v>
      </c>
      <c r="H498">
        <v>152.58000000000001</v>
      </c>
      <c r="I498">
        <v>97.44</v>
      </c>
      <c r="J498">
        <v>1129702.32</v>
      </c>
      <c r="K498">
        <v>721445.76</v>
      </c>
    </row>
    <row r="499" spans="1:11" x14ac:dyDescent="0.35">
      <c r="A499" t="s">
        <v>500</v>
      </c>
      <c r="B499" t="s">
        <v>990</v>
      </c>
      <c r="C499" t="s">
        <v>19</v>
      </c>
      <c r="D499" s="1">
        <v>44747</v>
      </c>
      <c r="E499">
        <v>553562295</v>
      </c>
      <c r="F499" s="1">
        <v>44795</v>
      </c>
      <c r="G499">
        <v>239</v>
      </c>
      <c r="H499">
        <v>668.27</v>
      </c>
      <c r="I499">
        <v>502.54</v>
      </c>
      <c r="J499">
        <v>159716.53</v>
      </c>
      <c r="K499">
        <v>120107.06</v>
      </c>
    </row>
    <row r="500" spans="1:11" x14ac:dyDescent="0.35">
      <c r="A500" t="s">
        <v>501</v>
      </c>
      <c r="B500" t="s">
        <v>972</v>
      </c>
      <c r="C500" t="s">
        <v>12</v>
      </c>
      <c r="D500" s="1">
        <v>44662</v>
      </c>
      <c r="E500">
        <v>963414561</v>
      </c>
      <c r="F500" s="1">
        <v>44685</v>
      </c>
      <c r="G500">
        <v>4633</v>
      </c>
      <c r="H500">
        <v>205.7</v>
      </c>
      <c r="I500">
        <v>117.11</v>
      </c>
      <c r="J500">
        <v>953008.1</v>
      </c>
      <c r="K500">
        <v>542570.63</v>
      </c>
    </row>
    <row r="501" spans="1:11" x14ac:dyDescent="0.35">
      <c r="A501" t="s">
        <v>502</v>
      </c>
      <c r="B501" t="s">
        <v>972</v>
      </c>
      <c r="C501" t="s">
        <v>17</v>
      </c>
      <c r="D501" s="1">
        <v>44079</v>
      </c>
      <c r="E501">
        <v>652961957</v>
      </c>
      <c r="F501" s="1">
        <v>44081</v>
      </c>
      <c r="G501">
        <v>4808</v>
      </c>
      <c r="H501">
        <v>205.7</v>
      </c>
      <c r="I501">
        <v>117.11</v>
      </c>
      <c r="J501">
        <v>989005.6</v>
      </c>
      <c r="K501">
        <v>563064.88</v>
      </c>
    </row>
    <row r="502" spans="1:11" x14ac:dyDescent="0.35">
      <c r="A502" t="s">
        <v>503</v>
      </c>
      <c r="B502" t="s">
        <v>968</v>
      </c>
      <c r="C502" t="s">
        <v>12</v>
      </c>
      <c r="D502" s="1">
        <v>43901</v>
      </c>
      <c r="E502">
        <v>434753310</v>
      </c>
      <c r="F502" s="1">
        <v>43928</v>
      </c>
      <c r="G502">
        <v>2021</v>
      </c>
      <c r="H502">
        <v>152.58000000000001</v>
      </c>
      <c r="I502">
        <v>97.44</v>
      </c>
      <c r="J502">
        <v>308364.18000000005</v>
      </c>
      <c r="K502">
        <v>196926.24</v>
      </c>
    </row>
    <row r="503" spans="1:11" x14ac:dyDescent="0.35">
      <c r="A503" t="s">
        <v>504</v>
      </c>
      <c r="B503" t="s">
        <v>980</v>
      </c>
      <c r="C503" t="s">
        <v>17</v>
      </c>
      <c r="D503" s="1">
        <v>44133</v>
      </c>
      <c r="E503">
        <v>741649949</v>
      </c>
      <c r="F503" s="1">
        <v>44183</v>
      </c>
      <c r="G503">
        <v>9556</v>
      </c>
      <c r="H503">
        <v>437.2</v>
      </c>
      <c r="I503">
        <v>263.33</v>
      </c>
      <c r="J503">
        <v>4177883.1999999997</v>
      </c>
      <c r="K503">
        <v>2516381.48</v>
      </c>
    </row>
    <row r="504" spans="1:11" x14ac:dyDescent="0.35">
      <c r="A504" t="s">
        <v>505</v>
      </c>
      <c r="B504" t="s">
        <v>974</v>
      </c>
      <c r="C504" t="s">
        <v>17</v>
      </c>
      <c r="D504" s="1">
        <v>44409</v>
      </c>
      <c r="E504">
        <v>276825702</v>
      </c>
      <c r="F504" s="1">
        <v>44419</v>
      </c>
      <c r="G504">
        <v>7732</v>
      </c>
      <c r="H504">
        <v>9.33</v>
      </c>
      <c r="I504">
        <v>6.92</v>
      </c>
      <c r="J504">
        <v>72139.56</v>
      </c>
      <c r="K504">
        <v>53505.440000000002</v>
      </c>
    </row>
    <row r="505" spans="1:11" x14ac:dyDescent="0.35">
      <c r="A505" t="s">
        <v>506</v>
      </c>
      <c r="B505" t="s">
        <v>990</v>
      </c>
      <c r="C505" t="s">
        <v>19</v>
      </c>
      <c r="D505" s="1">
        <v>44506</v>
      </c>
      <c r="E505">
        <v>963766896</v>
      </c>
      <c r="F505" s="1">
        <v>44521</v>
      </c>
      <c r="G505">
        <v>8896</v>
      </c>
      <c r="H505">
        <v>668.27</v>
      </c>
      <c r="I505">
        <v>502.54</v>
      </c>
      <c r="J505">
        <v>5944929.9199999999</v>
      </c>
      <c r="K505">
        <v>4470595.84</v>
      </c>
    </row>
    <row r="506" spans="1:11" x14ac:dyDescent="0.35">
      <c r="A506" t="s">
        <v>507</v>
      </c>
      <c r="B506" t="s">
        <v>984</v>
      </c>
      <c r="C506" t="s">
        <v>17</v>
      </c>
      <c r="D506" s="1">
        <v>44871</v>
      </c>
      <c r="E506">
        <v>296272361</v>
      </c>
      <c r="F506" s="1">
        <v>44876</v>
      </c>
      <c r="G506">
        <v>2430</v>
      </c>
      <c r="H506">
        <v>651.21</v>
      </c>
      <c r="I506">
        <v>524.96</v>
      </c>
      <c r="J506">
        <v>1582440.3</v>
      </c>
      <c r="K506">
        <v>1275652.8</v>
      </c>
    </row>
    <row r="507" spans="1:11" x14ac:dyDescent="0.35">
      <c r="A507" t="s">
        <v>508</v>
      </c>
      <c r="B507" t="s">
        <v>976</v>
      </c>
      <c r="C507" t="s">
        <v>12</v>
      </c>
      <c r="D507" s="1">
        <v>44010</v>
      </c>
      <c r="E507">
        <v>788453423</v>
      </c>
      <c r="F507" s="1">
        <v>44047</v>
      </c>
      <c r="G507">
        <v>9744</v>
      </c>
      <c r="H507">
        <v>255.28</v>
      </c>
      <c r="I507">
        <v>159.41999999999999</v>
      </c>
      <c r="J507">
        <v>2487448.3199999998</v>
      </c>
      <c r="K507">
        <v>1553388.48</v>
      </c>
    </row>
    <row r="508" spans="1:11" x14ac:dyDescent="0.35">
      <c r="A508" t="s">
        <v>509</v>
      </c>
      <c r="B508" t="s">
        <v>972</v>
      </c>
      <c r="C508" t="s">
        <v>19</v>
      </c>
      <c r="D508" s="1">
        <v>44230</v>
      </c>
      <c r="E508">
        <v>524733912</v>
      </c>
      <c r="F508" s="1">
        <v>44235</v>
      </c>
      <c r="G508">
        <v>9280</v>
      </c>
      <c r="H508">
        <v>205.7</v>
      </c>
      <c r="I508">
        <v>117.11</v>
      </c>
      <c r="J508">
        <v>1908896</v>
      </c>
      <c r="K508">
        <v>1086780.8</v>
      </c>
    </row>
    <row r="509" spans="1:11" x14ac:dyDescent="0.35">
      <c r="A509" t="s">
        <v>510</v>
      </c>
      <c r="B509" t="s">
        <v>974</v>
      </c>
      <c r="C509" t="s">
        <v>19</v>
      </c>
      <c r="D509" s="1">
        <v>44852</v>
      </c>
      <c r="E509">
        <v>809850156</v>
      </c>
      <c r="F509" s="1">
        <v>44869</v>
      </c>
      <c r="G509">
        <v>1513</v>
      </c>
      <c r="H509">
        <v>9.33</v>
      </c>
      <c r="I509">
        <v>6.92</v>
      </c>
      <c r="J509">
        <v>14116.29</v>
      </c>
      <c r="K509">
        <v>10469.959999999999</v>
      </c>
    </row>
    <row r="510" spans="1:11" x14ac:dyDescent="0.35">
      <c r="A510" t="s">
        <v>511</v>
      </c>
      <c r="B510" t="s">
        <v>968</v>
      </c>
      <c r="C510" t="s">
        <v>17</v>
      </c>
      <c r="D510" s="1">
        <v>44822</v>
      </c>
      <c r="E510">
        <v>318850982</v>
      </c>
      <c r="F510" s="1">
        <v>44840</v>
      </c>
      <c r="G510">
        <v>3946</v>
      </c>
      <c r="H510">
        <v>152.58000000000001</v>
      </c>
      <c r="I510">
        <v>97.44</v>
      </c>
      <c r="J510">
        <v>602080.68000000005</v>
      </c>
      <c r="K510">
        <v>384498.24</v>
      </c>
    </row>
    <row r="511" spans="1:11" x14ac:dyDescent="0.35">
      <c r="A511" t="s">
        <v>512</v>
      </c>
      <c r="B511" t="s">
        <v>974</v>
      </c>
      <c r="C511" t="s">
        <v>14</v>
      </c>
      <c r="D511" s="1">
        <v>44278</v>
      </c>
      <c r="E511">
        <v>947097718</v>
      </c>
      <c r="F511" s="1">
        <v>44296</v>
      </c>
      <c r="G511">
        <v>6116</v>
      </c>
      <c r="H511">
        <v>9.33</v>
      </c>
      <c r="I511">
        <v>6.92</v>
      </c>
      <c r="J511">
        <v>57062.28</v>
      </c>
      <c r="K511">
        <v>42322.720000000001</v>
      </c>
    </row>
    <row r="512" spans="1:11" x14ac:dyDescent="0.35">
      <c r="A512" t="s">
        <v>513</v>
      </c>
      <c r="B512" t="s">
        <v>978</v>
      </c>
      <c r="C512" t="s">
        <v>14</v>
      </c>
      <c r="D512" s="1">
        <v>44026</v>
      </c>
      <c r="E512">
        <v>160264194</v>
      </c>
      <c r="F512" s="1">
        <v>44040</v>
      </c>
      <c r="G512">
        <v>4591</v>
      </c>
      <c r="H512">
        <v>47.45</v>
      </c>
      <c r="I512">
        <v>31.79</v>
      </c>
      <c r="J512">
        <v>217842.95</v>
      </c>
      <c r="K512">
        <v>145947.88999999998</v>
      </c>
    </row>
    <row r="513" spans="1:11" x14ac:dyDescent="0.35">
      <c r="A513" t="s">
        <v>514</v>
      </c>
      <c r="B513" t="s">
        <v>968</v>
      </c>
      <c r="C513" t="s">
        <v>12</v>
      </c>
      <c r="D513" s="1">
        <v>43974</v>
      </c>
      <c r="E513">
        <v>444336736</v>
      </c>
      <c r="F513" s="1">
        <v>43991</v>
      </c>
      <c r="G513">
        <v>7969</v>
      </c>
      <c r="H513">
        <v>152.58000000000001</v>
      </c>
      <c r="I513">
        <v>97.44</v>
      </c>
      <c r="J513">
        <v>1215910.02</v>
      </c>
      <c r="K513">
        <v>776499.36</v>
      </c>
    </row>
    <row r="514" spans="1:11" x14ac:dyDescent="0.35">
      <c r="A514" t="s">
        <v>515</v>
      </c>
      <c r="B514" t="s">
        <v>986</v>
      </c>
      <c r="C514" t="s">
        <v>17</v>
      </c>
      <c r="D514" s="1">
        <v>44700</v>
      </c>
      <c r="E514">
        <v>755614173</v>
      </c>
      <c r="F514" s="1">
        <v>44726</v>
      </c>
      <c r="G514">
        <v>1880</v>
      </c>
      <c r="H514">
        <v>154.06</v>
      </c>
      <c r="I514">
        <v>90.93</v>
      </c>
      <c r="J514">
        <v>289632.8</v>
      </c>
      <c r="K514">
        <v>170948.40000000002</v>
      </c>
    </row>
    <row r="515" spans="1:11" x14ac:dyDescent="0.35">
      <c r="A515" t="s">
        <v>516</v>
      </c>
      <c r="B515" t="s">
        <v>986</v>
      </c>
      <c r="C515" t="s">
        <v>19</v>
      </c>
      <c r="D515" s="1">
        <v>44840</v>
      </c>
      <c r="E515">
        <v>570707833</v>
      </c>
      <c r="F515" s="1">
        <v>44841</v>
      </c>
      <c r="G515">
        <v>3985</v>
      </c>
      <c r="H515">
        <v>154.06</v>
      </c>
      <c r="I515">
        <v>90.93</v>
      </c>
      <c r="J515">
        <v>613929.1</v>
      </c>
      <c r="K515">
        <v>362356.05000000005</v>
      </c>
    </row>
    <row r="516" spans="1:11" x14ac:dyDescent="0.35">
      <c r="A516" t="s">
        <v>517</v>
      </c>
      <c r="B516" t="s">
        <v>978</v>
      </c>
      <c r="C516" t="s">
        <v>14</v>
      </c>
      <c r="D516" s="1">
        <v>44744</v>
      </c>
      <c r="E516">
        <v>336541545</v>
      </c>
      <c r="F516" s="1">
        <v>44791</v>
      </c>
      <c r="G516">
        <v>8977</v>
      </c>
      <c r="H516">
        <v>47.45</v>
      </c>
      <c r="I516">
        <v>31.79</v>
      </c>
      <c r="J516">
        <v>425958.65</v>
      </c>
      <c r="K516">
        <v>285378.83</v>
      </c>
    </row>
    <row r="517" spans="1:11" x14ac:dyDescent="0.35">
      <c r="A517" t="s">
        <v>518</v>
      </c>
      <c r="B517" t="s">
        <v>968</v>
      </c>
      <c r="C517" t="s">
        <v>12</v>
      </c>
      <c r="D517" s="1">
        <v>43864</v>
      </c>
      <c r="E517">
        <v>120351636</v>
      </c>
      <c r="F517" s="1">
        <v>43887</v>
      </c>
      <c r="G517">
        <v>3578</v>
      </c>
      <c r="H517">
        <v>152.58000000000001</v>
      </c>
      <c r="I517">
        <v>97.44</v>
      </c>
      <c r="J517">
        <v>545931.24</v>
      </c>
      <c r="K517">
        <v>348640.32</v>
      </c>
    </row>
    <row r="518" spans="1:11" x14ac:dyDescent="0.35">
      <c r="A518" t="s">
        <v>519</v>
      </c>
      <c r="B518" t="s">
        <v>972</v>
      </c>
      <c r="C518" t="s">
        <v>12</v>
      </c>
      <c r="D518" s="1">
        <v>44407</v>
      </c>
      <c r="E518">
        <v>959686934</v>
      </c>
      <c r="F518" s="1">
        <v>44441</v>
      </c>
      <c r="G518">
        <v>1545</v>
      </c>
      <c r="H518">
        <v>205.7</v>
      </c>
      <c r="I518">
        <v>117.11</v>
      </c>
      <c r="J518">
        <v>317806.5</v>
      </c>
      <c r="K518">
        <v>180934.95</v>
      </c>
    </row>
    <row r="519" spans="1:11" x14ac:dyDescent="0.35">
      <c r="A519" t="s">
        <v>520</v>
      </c>
      <c r="B519" t="s">
        <v>974</v>
      </c>
      <c r="C519" t="s">
        <v>17</v>
      </c>
      <c r="D519" s="1">
        <v>44555</v>
      </c>
      <c r="E519">
        <v>812408769</v>
      </c>
      <c r="F519" s="1">
        <v>44600</v>
      </c>
      <c r="G519">
        <v>8663</v>
      </c>
      <c r="H519">
        <v>9.33</v>
      </c>
      <c r="I519">
        <v>6.92</v>
      </c>
      <c r="J519">
        <v>80825.789999999994</v>
      </c>
      <c r="K519">
        <v>59947.96</v>
      </c>
    </row>
    <row r="520" spans="1:11" x14ac:dyDescent="0.35">
      <c r="A520" t="s">
        <v>521</v>
      </c>
      <c r="B520" t="s">
        <v>974</v>
      </c>
      <c r="C520" t="s">
        <v>19</v>
      </c>
      <c r="D520" s="1">
        <v>44199</v>
      </c>
      <c r="E520">
        <v>406690967</v>
      </c>
      <c r="F520" s="1">
        <v>44207</v>
      </c>
      <c r="G520">
        <v>7749</v>
      </c>
      <c r="H520">
        <v>9.33</v>
      </c>
      <c r="I520">
        <v>6.92</v>
      </c>
      <c r="J520">
        <v>72298.17</v>
      </c>
      <c r="K520">
        <v>53623.08</v>
      </c>
    </row>
    <row r="521" spans="1:11" x14ac:dyDescent="0.35">
      <c r="A521" t="s">
        <v>522</v>
      </c>
      <c r="B521" t="s">
        <v>986</v>
      </c>
      <c r="C521" t="s">
        <v>19</v>
      </c>
      <c r="D521" s="1">
        <v>44422</v>
      </c>
      <c r="E521">
        <v>991019856</v>
      </c>
      <c r="F521" s="1">
        <v>44464</v>
      </c>
      <c r="G521">
        <v>3653</v>
      </c>
      <c r="H521">
        <v>154.06</v>
      </c>
      <c r="I521">
        <v>90.93</v>
      </c>
      <c r="J521">
        <v>562781.18000000005</v>
      </c>
      <c r="K521">
        <v>332167.29000000004</v>
      </c>
    </row>
    <row r="522" spans="1:11" x14ac:dyDescent="0.35">
      <c r="A522" t="s">
        <v>523</v>
      </c>
      <c r="B522" t="s">
        <v>986</v>
      </c>
      <c r="C522" t="s">
        <v>14</v>
      </c>
      <c r="D522" s="1">
        <v>43845</v>
      </c>
      <c r="E522">
        <v>284194266</v>
      </c>
      <c r="F522" s="1">
        <v>43846</v>
      </c>
      <c r="G522">
        <v>8254</v>
      </c>
      <c r="H522">
        <v>154.06</v>
      </c>
      <c r="I522">
        <v>90.93</v>
      </c>
      <c r="J522">
        <v>1271611.24</v>
      </c>
      <c r="K522">
        <v>750536.22000000009</v>
      </c>
    </row>
    <row r="523" spans="1:11" x14ac:dyDescent="0.35">
      <c r="A523" t="s">
        <v>524</v>
      </c>
      <c r="B523" t="s">
        <v>984</v>
      </c>
      <c r="C523" t="s">
        <v>14</v>
      </c>
      <c r="D523" s="1">
        <v>44367</v>
      </c>
      <c r="E523">
        <v>125325524</v>
      </c>
      <c r="F523" s="1">
        <v>44371</v>
      </c>
      <c r="G523">
        <v>5463</v>
      </c>
      <c r="H523">
        <v>651.21</v>
      </c>
      <c r="I523">
        <v>524.96</v>
      </c>
      <c r="J523">
        <v>3557560.23</v>
      </c>
      <c r="K523">
        <v>2867856.48</v>
      </c>
    </row>
    <row r="524" spans="1:11" x14ac:dyDescent="0.35">
      <c r="A524" t="s">
        <v>525</v>
      </c>
      <c r="B524" t="s">
        <v>980</v>
      </c>
      <c r="C524" t="s">
        <v>17</v>
      </c>
      <c r="D524" s="1">
        <v>44379</v>
      </c>
      <c r="E524">
        <v>623837459</v>
      </c>
      <c r="F524" s="1">
        <v>44387</v>
      </c>
      <c r="G524">
        <v>6222</v>
      </c>
      <c r="H524">
        <v>437.2</v>
      </c>
      <c r="I524">
        <v>263.33</v>
      </c>
      <c r="J524">
        <v>2720258.4</v>
      </c>
      <c r="K524">
        <v>1638439.26</v>
      </c>
    </row>
    <row r="525" spans="1:11" x14ac:dyDescent="0.35">
      <c r="A525" t="s">
        <v>526</v>
      </c>
      <c r="B525" t="s">
        <v>990</v>
      </c>
      <c r="C525" t="s">
        <v>19</v>
      </c>
      <c r="D525" s="1">
        <v>44508</v>
      </c>
      <c r="E525">
        <v>609466397</v>
      </c>
      <c r="F525" s="1">
        <v>44540</v>
      </c>
      <c r="G525">
        <v>3506</v>
      </c>
      <c r="H525">
        <v>668.27</v>
      </c>
      <c r="I525">
        <v>502.54</v>
      </c>
      <c r="J525">
        <v>2342954.62</v>
      </c>
      <c r="K525">
        <v>1761905.24</v>
      </c>
    </row>
    <row r="526" spans="1:11" x14ac:dyDescent="0.35">
      <c r="A526" t="s">
        <v>527</v>
      </c>
      <c r="B526" t="s">
        <v>974</v>
      </c>
      <c r="C526" t="s">
        <v>17</v>
      </c>
      <c r="D526" s="1">
        <v>43961</v>
      </c>
      <c r="E526">
        <v>782261168</v>
      </c>
      <c r="F526" s="1">
        <v>43997</v>
      </c>
      <c r="G526">
        <v>7318</v>
      </c>
      <c r="H526">
        <v>9.33</v>
      </c>
      <c r="I526">
        <v>6.92</v>
      </c>
      <c r="J526">
        <v>68276.94</v>
      </c>
      <c r="K526">
        <v>50640.56</v>
      </c>
    </row>
    <row r="527" spans="1:11" x14ac:dyDescent="0.35">
      <c r="A527" t="s">
        <v>528</v>
      </c>
      <c r="B527" t="s">
        <v>978</v>
      </c>
      <c r="C527" t="s">
        <v>19</v>
      </c>
      <c r="D527" s="1">
        <v>44180</v>
      </c>
      <c r="E527">
        <v>562583100</v>
      </c>
      <c r="F527" s="1">
        <v>44220</v>
      </c>
      <c r="G527">
        <v>9696</v>
      </c>
      <c r="H527">
        <v>47.45</v>
      </c>
      <c r="I527">
        <v>31.79</v>
      </c>
      <c r="J527">
        <v>460075.2</v>
      </c>
      <c r="K527">
        <v>308235.83999999997</v>
      </c>
    </row>
    <row r="528" spans="1:11" x14ac:dyDescent="0.35">
      <c r="A528" t="s">
        <v>529</v>
      </c>
      <c r="B528" t="s">
        <v>968</v>
      </c>
      <c r="C528" t="s">
        <v>14</v>
      </c>
      <c r="D528" s="1">
        <v>44144</v>
      </c>
      <c r="E528">
        <v>341106021</v>
      </c>
      <c r="F528" s="1">
        <v>44147</v>
      </c>
      <c r="G528">
        <v>9707</v>
      </c>
      <c r="H528">
        <v>152.58000000000001</v>
      </c>
      <c r="I528">
        <v>97.44</v>
      </c>
      <c r="J528">
        <v>1481094.06</v>
      </c>
      <c r="K528">
        <v>945850.08</v>
      </c>
    </row>
    <row r="529" spans="1:11" x14ac:dyDescent="0.35">
      <c r="A529" t="s">
        <v>530</v>
      </c>
      <c r="B529" t="s">
        <v>978</v>
      </c>
      <c r="C529" t="s">
        <v>14</v>
      </c>
      <c r="D529" s="1">
        <v>44023</v>
      </c>
      <c r="E529">
        <v>128816258</v>
      </c>
      <c r="F529" s="1">
        <v>44024</v>
      </c>
      <c r="G529">
        <v>8448</v>
      </c>
      <c r="H529">
        <v>47.45</v>
      </c>
      <c r="I529">
        <v>31.79</v>
      </c>
      <c r="J529">
        <v>400857.60000000003</v>
      </c>
      <c r="K529">
        <v>268561.91999999998</v>
      </c>
    </row>
    <row r="530" spans="1:11" x14ac:dyDescent="0.35">
      <c r="A530" t="s">
        <v>531</v>
      </c>
      <c r="B530" t="s">
        <v>972</v>
      </c>
      <c r="C530" t="s">
        <v>19</v>
      </c>
      <c r="D530" s="1">
        <v>44655</v>
      </c>
      <c r="E530">
        <v>907012641</v>
      </c>
      <c r="F530" s="1">
        <v>44700</v>
      </c>
      <c r="G530">
        <v>4051</v>
      </c>
      <c r="H530">
        <v>205.7</v>
      </c>
      <c r="I530">
        <v>117.11</v>
      </c>
      <c r="J530">
        <v>833290.7</v>
      </c>
      <c r="K530">
        <v>474412.61</v>
      </c>
    </row>
    <row r="531" spans="1:11" x14ac:dyDescent="0.35">
      <c r="A531" t="s">
        <v>532</v>
      </c>
      <c r="B531" t="s">
        <v>976</v>
      </c>
      <c r="C531" t="s">
        <v>12</v>
      </c>
      <c r="D531" s="1">
        <v>43895</v>
      </c>
      <c r="E531">
        <v>577306497</v>
      </c>
      <c r="F531" s="1">
        <v>43902</v>
      </c>
      <c r="G531">
        <v>6676</v>
      </c>
      <c r="H531">
        <v>255.28</v>
      </c>
      <c r="I531">
        <v>159.41999999999999</v>
      </c>
      <c r="J531">
        <v>1704249.28</v>
      </c>
      <c r="K531">
        <v>1064287.92</v>
      </c>
    </row>
    <row r="532" spans="1:11" x14ac:dyDescent="0.35">
      <c r="A532" t="s">
        <v>195</v>
      </c>
      <c r="B532" t="s">
        <v>990</v>
      </c>
      <c r="C532" t="s">
        <v>12</v>
      </c>
      <c r="D532" s="1">
        <v>44439</v>
      </c>
      <c r="E532">
        <v>711621654</v>
      </c>
      <c r="F532" s="1">
        <v>44441</v>
      </c>
      <c r="G532">
        <v>3516</v>
      </c>
      <c r="H532">
        <v>668.27</v>
      </c>
      <c r="I532">
        <v>502.54</v>
      </c>
      <c r="J532">
        <v>2349637.3199999998</v>
      </c>
      <c r="K532">
        <v>1766930.6400000001</v>
      </c>
    </row>
    <row r="533" spans="1:11" x14ac:dyDescent="0.35">
      <c r="A533" t="s">
        <v>533</v>
      </c>
      <c r="B533" t="s">
        <v>984</v>
      </c>
      <c r="C533" t="s">
        <v>19</v>
      </c>
      <c r="D533" s="1">
        <v>43913</v>
      </c>
      <c r="E533">
        <v>702194440</v>
      </c>
      <c r="F533" s="1">
        <v>43920</v>
      </c>
      <c r="G533">
        <v>3794</v>
      </c>
      <c r="H533">
        <v>651.21</v>
      </c>
      <c r="I533">
        <v>524.96</v>
      </c>
      <c r="J533">
        <v>2470690.7400000002</v>
      </c>
      <c r="K533">
        <v>1991698.2400000002</v>
      </c>
    </row>
    <row r="534" spans="1:11" x14ac:dyDescent="0.35">
      <c r="A534" t="s">
        <v>534</v>
      </c>
      <c r="B534" t="s">
        <v>972</v>
      </c>
      <c r="C534" t="s">
        <v>17</v>
      </c>
      <c r="D534" s="1">
        <v>44787</v>
      </c>
      <c r="E534">
        <v>911573684</v>
      </c>
      <c r="F534" s="1">
        <v>44823</v>
      </c>
      <c r="G534">
        <v>3765</v>
      </c>
      <c r="H534">
        <v>205.7</v>
      </c>
      <c r="I534">
        <v>117.11</v>
      </c>
      <c r="J534">
        <v>774460.5</v>
      </c>
      <c r="K534">
        <v>440919.15</v>
      </c>
    </row>
    <row r="535" spans="1:11" x14ac:dyDescent="0.35">
      <c r="A535" t="s">
        <v>535</v>
      </c>
      <c r="B535" t="s">
        <v>978</v>
      </c>
      <c r="C535" t="s">
        <v>17</v>
      </c>
      <c r="D535" s="1">
        <v>44458</v>
      </c>
      <c r="E535">
        <v>422620713</v>
      </c>
      <c r="F535" s="1">
        <v>44474</v>
      </c>
      <c r="G535">
        <v>1715</v>
      </c>
      <c r="H535">
        <v>47.45</v>
      </c>
      <c r="I535">
        <v>31.79</v>
      </c>
      <c r="J535">
        <v>81376.75</v>
      </c>
      <c r="K535">
        <v>54519.85</v>
      </c>
    </row>
    <row r="536" spans="1:11" x14ac:dyDescent="0.35">
      <c r="A536" t="s">
        <v>536</v>
      </c>
      <c r="B536" t="s">
        <v>990</v>
      </c>
      <c r="C536" t="s">
        <v>12</v>
      </c>
      <c r="D536" s="1">
        <v>44122</v>
      </c>
      <c r="E536">
        <v>188509356</v>
      </c>
      <c r="F536" s="1">
        <v>44135</v>
      </c>
      <c r="G536">
        <v>2963</v>
      </c>
      <c r="H536">
        <v>668.27</v>
      </c>
      <c r="I536">
        <v>502.54</v>
      </c>
      <c r="J536">
        <v>1980084.01</v>
      </c>
      <c r="K536">
        <v>1489026.02</v>
      </c>
    </row>
    <row r="537" spans="1:11" x14ac:dyDescent="0.35">
      <c r="A537" t="s">
        <v>420</v>
      </c>
      <c r="B537" t="s">
        <v>986</v>
      </c>
      <c r="C537" t="s">
        <v>19</v>
      </c>
      <c r="D537" s="1">
        <v>44081</v>
      </c>
      <c r="E537">
        <v>782725942</v>
      </c>
      <c r="F537" s="1">
        <v>44089</v>
      </c>
      <c r="G537">
        <v>4855</v>
      </c>
      <c r="H537">
        <v>154.06</v>
      </c>
      <c r="I537">
        <v>90.93</v>
      </c>
      <c r="J537">
        <v>747961.3</v>
      </c>
      <c r="K537">
        <v>441465.15</v>
      </c>
    </row>
    <row r="538" spans="1:11" x14ac:dyDescent="0.35">
      <c r="A538" t="s">
        <v>537</v>
      </c>
      <c r="B538" t="s">
        <v>984</v>
      </c>
      <c r="C538" t="s">
        <v>12</v>
      </c>
      <c r="D538" s="1">
        <v>44259</v>
      </c>
      <c r="E538">
        <v>149069297</v>
      </c>
      <c r="F538" s="1">
        <v>44277</v>
      </c>
      <c r="G538">
        <v>1772</v>
      </c>
      <c r="H538">
        <v>651.21</v>
      </c>
      <c r="I538">
        <v>524.96</v>
      </c>
      <c r="J538">
        <v>1153944.1200000001</v>
      </c>
      <c r="K538">
        <v>930229.12000000011</v>
      </c>
    </row>
    <row r="539" spans="1:11" x14ac:dyDescent="0.35">
      <c r="A539" t="s">
        <v>538</v>
      </c>
      <c r="B539" t="s">
        <v>978</v>
      </c>
      <c r="C539" t="s">
        <v>19</v>
      </c>
      <c r="D539" s="1">
        <v>44728</v>
      </c>
      <c r="E539">
        <v>351650750</v>
      </c>
      <c r="F539" s="1">
        <v>44751</v>
      </c>
      <c r="G539">
        <v>126</v>
      </c>
      <c r="H539">
        <v>47.45</v>
      </c>
      <c r="I539">
        <v>31.79</v>
      </c>
      <c r="J539">
        <v>5978.7000000000007</v>
      </c>
      <c r="K539">
        <v>4005.54</v>
      </c>
    </row>
    <row r="540" spans="1:11" x14ac:dyDescent="0.35">
      <c r="A540" t="s">
        <v>539</v>
      </c>
      <c r="B540" t="s">
        <v>972</v>
      </c>
      <c r="C540" t="s">
        <v>19</v>
      </c>
      <c r="D540" s="1">
        <v>44141</v>
      </c>
      <c r="E540">
        <v>824894130</v>
      </c>
      <c r="F540" s="1">
        <v>44185</v>
      </c>
      <c r="G540">
        <v>3359</v>
      </c>
      <c r="H540">
        <v>205.7</v>
      </c>
      <c r="I540">
        <v>117.11</v>
      </c>
      <c r="J540">
        <v>690946.29999999993</v>
      </c>
      <c r="K540">
        <v>393372.49</v>
      </c>
    </row>
    <row r="541" spans="1:11" x14ac:dyDescent="0.35">
      <c r="A541" t="s">
        <v>540</v>
      </c>
      <c r="B541" t="s">
        <v>978</v>
      </c>
      <c r="C541" t="s">
        <v>14</v>
      </c>
      <c r="D541" s="1">
        <v>44429</v>
      </c>
      <c r="E541">
        <v>623535764</v>
      </c>
      <c r="F541" s="1">
        <v>44440</v>
      </c>
      <c r="G541">
        <v>6944</v>
      </c>
      <c r="H541">
        <v>47.45</v>
      </c>
      <c r="I541">
        <v>31.79</v>
      </c>
      <c r="J541">
        <v>329492.80000000005</v>
      </c>
      <c r="K541">
        <v>220749.75999999998</v>
      </c>
    </row>
    <row r="542" spans="1:11" x14ac:dyDescent="0.35">
      <c r="A542" t="s">
        <v>541</v>
      </c>
      <c r="B542" t="s">
        <v>986</v>
      </c>
      <c r="C542" t="s">
        <v>19</v>
      </c>
      <c r="D542" s="1">
        <v>44017</v>
      </c>
      <c r="E542">
        <v>672624480</v>
      </c>
      <c r="F542" s="1">
        <v>44065</v>
      </c>
      <c r="G542">
        <v>3386</v>
      </c>
      <c r="H542">
        <v>154.06</v>
      </c>
      <c r="I542">
        <v>90.93</v>
      </c>
      <c r="J542">
        <v>521647.16000000003</v>
      </c>
      <c r="K542">
        <v>307888.98000000004</v>
      </c>
    </row>
    <row r="543" spans="1:11" x14ac:dyDescent="0.35">
      <c r="A543" t="s">
        <v>542</v>
      </c>
      <c r="B543" t="s">
        <v>980</v>
      </c>
      <c r="C543" t="s">
        <v>19</v>
      </c>
      <c r="D543" s="1">
        <v>44607</v>
      </c>
      <c r="E543">
        <v>617521607</v>
      </c>
      <c r="F543" s="1">
        <v>44644</v>
      </c>
      <c r="G543">
        <v>7221</v>
      </c>
      <c r="H543">
        <v>437.2</v>
      </c>
      <c r="I543">
        <v>263.33</v>
      </c>
      <c r="J543">
        <v>3157021.1999999997</v>
      </c>
      <c r="K543">
        <v>1901505.93</v>
      </c>
    </row>
    <row r="544" spans="1:11" x14ac:dyDescent="0.35">
      <c r="A544" t="s">
        <v>543</v>
      </c>
      <c r="B544" t="s">
        <v>974</v>
      </c>
      <c r="C544" t="s">
        <v>12</v>
      </c>
      <c r="D544" s="1">
        <v>44396</v>
      </c>
      <c r="E544">
        <v>173900973</v>
      </c>
      <c r="F544" s="1">
        <v>44396</v>
      </c>
      <c r="G544">
        <v>17</v>
      </c>
      <c r="H544">
        <v>9.33</v>
      </c>
      <c r="I544">
        <v>6.92</v>
      </c>
      <c r="J544">
        <v>158.61000000000001</v>
      </c>
      <c r="K544">
        <v>117.64</v>
      </c>
    </row>
    <row r="545" spans="1:11" x14ac:dyDescent="0.35">
      <c r="A545" t="s">
        <v>544</v>
      </c>
      <c r="B545" t="s">
        <v>986</v>
      </c>
      <c r="C545" t="s">
        <v>17</v>
      </c>
      <c r="D545" s="1">
        <v>44858</v>
      </c>
      <c r="E545">
        <v>477748906</v>
      </c>
      <c r="F545" s="1">
        <v>44883</v>
      </c>
      <c r="G545">
        <v>5373</v>
      </c>
      <c r="H545">
        <v>154.06</v>
      </c>
      <c r="I545">
        <v>90.93</v>
      </c>
      <c r="J545">
        <v>827764.38</v>
      </c>
      <c r="K545">
        <v>488566.89</v>
      </c>
    </row>
    <row r="546" spans="1:11" x14ac:dyDescent="0.35">
      <c r="A546" t="s">
        <v>545</v>
      </c>
      <c r="B546" t="s">
        <v>976</v>
      </c>
      <c r="C546" t="s">
        <v>19</v>
      </c>
      <c r="D546" s="1">
        <v>43962</v>
      </c>
      <c r="E546">
        <v>935364234</v>
      </c>
      <c r="F546" s="1">
        <v>43996</v>
      </c>
      <c r="G546">
        <v>3918</v>
      </c>
      <c r="H546">
        <v>255.28</v>
      </c>
      <c r="I546">
        <v>159.41999999999999</v>
      </c>
      <c r="J546">
        <v>1000187.04</v>
      </c>
      <c r="K546">
        <v>624607.55999999994</v>
      </c>
    </row>
    <row r="547" spans="1:11" x14ac:dyDescent="0.35">
      <c r="A547" t="s">
        <v>546</v>
      </c>
      <c r="B547" t="s">
        <v>968</v>
      </c>
      <c r="C547" t="s">
        <v>12</v>
      </c>
      <c r="D547" s="1">
        <v>43997</v>
      </c>
      <c r="E547">
        <v>573358285</v>
      </c>
      <c r="F547" s="1">
        <v>44011</v>
      </c>
      <c r="G547">
        <v>8313</v>
      </c>
      <c r="H547">
        <v>152.58000000000001</v>
      </c>
      <c r="I547">
        <v>97.44</v>
      </c>
      <c r="J547">
        <v>1268397.54</v>
      </c>
      <c r="K547">
        <v>810018.72</v>
      </c>
    </row>
    <row r="548" spans="1:11" x14ac:dyDescent="0.35">
      <c r="A548" t="s">
        <v>413</v>
      </c>
      <c r="B548" t="s">
        <v>986</v>
      </c>
      <c r="C548" t="s">
        <v>14</v>
      </c>
      <c r="D548" s="1">
        <v>44790</v>
      </c>
      <c r="E548">
        <v>288654887</v>
      </c>
      <c r="F548" s="1">
        <v>44833</v>
      </c>
      <c r="G548">
        <v>8251</v>
      </c>
      <c r="H548">
        <v>154.06</v>
      </c>
      <c r="I548">
        <v>90.93</v>
      </c>
      <c r="J548">
        <v>1271149.06</v>
      </c>
      <c r="K548">
        <v>750263.43</v>
      </c>
    </row>
    <row r="549" spans="1:11" x14ac:dyDescent="0.35">
      <c r="A549" t="s">
        <v>547</v>
      </c>
      <c r="B549" t="s">
        <v>968</v>
      </c>
      <c r="C549" t="s">
        <v>17</v>
      </c>
      <c r="D549" s="1">
        <v>44228</v>
      </c>
      <c r="E549">
        <v>598490369</v>
      </c>
      <c r="F549" s="1">
        <v>44234</v>
      </c>
      <c r="G549">
        <v>5455</v>
      </c>
      <c r="H549">
        <v>152.58000000000001</v>
      </c>
      <c r="I549">
        <v>97.44</v>
      </c>
      <c r="J549">
        <v>832323.9</v>
      </c>
      <c r="K549">
        <v>531535.19999999995</v>
      </c>
    </row>
    <row r="550" spans="1:11" x14ac:dyDescent="0.35">
      <c r="A550" t="s">
        <v>548</v>
      </c>
      <c r="B550" t="s">
        <v>988</v>
      </c>
      <c r="C550" t="s">
        <v>12</v>
      </c>
      <c r="D550" s="1">
        <v>43997</v>
      </c>
      <c r="E550">
        <v>290413558</v>
      </c>
      <c r="F550" s="1">
        <v>44031</v>
      </c>
      <c r="G550">
        <v>8680</v>
      </c>
      <c r="H550">
        <v>109.28</v>
      </c>
      <c r="I550">
        <v>35.840000000000003</v>
      </c>
      <c r="J550">
        <v>948550.4</v>
      </c>
      <c r="K550">
        <v>311091.20000000001</v>
      </c>
    </row>
    <row r="551" spans="1:11" x14ac:dyDescent="0.35">
      <c r="A551" t="s">
        <v>549</v>
      </c>
      <c r="B551" t="s">
        <v>980</v>
      </c>
      <c r="C551" t="s">
        <v>19</v>
      </c>
      <c r="D551" s="1">
        <v>43843</v>
      </c>
      <c r="E551">
        <v>472285783</v>
      </c>
      <c r="F551" s="1">
        <v>43857</v>
      </c>
      <c r="G551">
        <v>8713</v>
      </c>
      <c r="H551">
        <v>437.2</v>
      </c>
      <c r="I551">
        <v>263.33</v>
      </c>
      <c r="J551">
        <v>3809323.6</v>
      </c>
      <c r="K551">
        <v>2294394.29</v>
      </c>
    </row>
    <row r="552" spans="1:11" x14ac:dyDescent="0.35">
      <c r="A552" t="s">
        <v>550</v>
      </c>
      <c r="B552" t="s">
        <v>970</v>
      </c>
      <c r="C552" t="s">
        <v>19</v>
      </c>
      <c r="D552" s="1">
        <v>44181</v>
      </c>
      <c r="E552">
        <v>522280871</v>
      </c>
      <c r="F552" s="1">
        <v>44208</v>
      </c>
      <c r="G552">
        <v>3371</v>
      </c>
      <c r="H552">
        <v>421.89</v>
      </c>
      <c r="I552">
        <v>364.69</v>
      </c>
      <c r="J552">
        <v>1422191.19</v>
      </c>
      <c r="K552">
        <v>1229369.99</v>
      </c>
    </row>
    <row r="553" spans="1:11" x14ac:dyDescent="0.35">
      <c r="A553" t="s">
        <v>551</v>
      </c>
      <c r="B553" t="s">
        <v>990</v>
      </c>
      <c r="C553" t="s">
        <v>17</v>
      </c>
      <c r="D553" s="1">
        <v>44527</v>
      </c>
      <c r="E553">
        <v>338885152</v>
      </c>
      <c r="F553" s="1">
        <v>44541</v>
      </c>
      <c r="G553">
        <v>2502</v>
      </c>
      <c r="H553">
        <v>668.27</v>
      </c>
      <c r="I553">
        <v>502.54</v>
      </c>
      <c r="J553">
        <v>1672011.54</v>
      </c>
      <c r="K553">
        <v>1257355.08</v>
      </c>
    </row>
    <row r="554" spans="1:11" x14ac:dyDescent="0.35">
      <c r="A554" t="s">
        <v>552</v>
      </c>
      <c r="B554" t="s">
        <v>990</v>
      </c>
      <c r="C554" t="s">
        <v>17</v>
      </c>
      <c r="D554" s="1">
        <v>44024</v>
      </c>
      <c r="E554">
        <v>790897452</v>
      </c>
      <c r="F554" s="1">
        <v>44029</v>
      </c>
      <c r="G554">
        <v>2986</v>
      </c>
      <c r="H554">
        <v>668.27</v>
      </c>
      <c r="I554">
        <v>502.54</v>
      </c>
      <c r="J554">
        <v>1995454.22</v>
      </c>
      <c r="K554">
        <v>1500584.4400000002</v>
      </c>
    </row>
    <row r="555" spans="1:11" x14ac:dyDescent="0.35">
      <c r="A555" t="s">
        <v>553</v>
      </c>
      <c r="B555" t="s">
        <v>970</v>
      </c>
      <c r="C555" t="s">
        <v>14</v>
      </c>
      <c r="D555" s="1">
        <v>44049</v>
      </c>
      <c r="E555">
        <v>567429101</v>
      </c>
      <c r="F555" s="1">
        <v>44093</v>
      </c>
      <c r="G555">
        <v>3735</v>
      </c>
      <c r="H555">
        <v>421.89</v>
      </c>
      <c r="I555">
        <v>364.69</v>
      </c>
      <c r="J555">
        <v>1575759.15</v>
      </c>
      <c r="K555">
        <v>1362117.15</v>
      </c>
    </row>
    <row r="556" spans="1:11" x14ac:dyDescent="0.35">
      <c r="A556" t="s">
        <v>554</v>
      </c>
      <c r="B556" t="s">
        <v>976</v>
      </c>
      <c r="C556" t="s">
        <v>19</v>
      </c>
      <c r="D556" s="1">
        <v>44559</v>
      </c>
      <c r="E556">
        <v>227903926</v>
      </c>
      <c r="F556" s="1">
        <v>44571</v>
      </c>
      <c r="G556">
        <v>691</v>
      </c>
      <c r="H556">
        <v>255.28</v>
      </c>
      <c r="I556">
        <v>159.41999999999999</v>
      </c>
      <c r="J556">
        <v>176398.48</v>
      </c>
      <c r="K556">
        <v>110159.21999999999</v>
      </c>
    </row>
    <row r="557" spans="1:11" x14ac:dyDescent="0.35">
      <c r="A557" t="s">
        <v>555</v>
      </c>
      <c r="B557" t="s">
        <v>978</v>
      </c>
      <c r="C557" t="s">
        <v>19</v>
      </c>
      <c r="D557" s="1">
        <v>44615</v>
      </c>
      <c r="E557">
        <v>852058255</v>
      </c>
      <c r="F557" s="1">
        <v>44620</v>
      </c>
      <c r="G557">
        <v>1827</v>
      </c>
      <c r="H557">
        <v>47.45</v>
      </c>
      <c r="I557">
        <v>31.79</v>
      </c>
      <c r="J557">
        <v>86691.150000000009</v>
      </c>
      <c r="K557">
        <v>58080.33</v>
      </c>
    </row>
    <row r="558" spans="1:11" x14ac:dyDescent="0.35">
      <c r="A558" t="s">
        <v>556</v>
      </c>
      <c r="B558" t="s">
        <v>972</v>
      </c>
      <c r="C558" t="s">
        <v>12</v>
      </c>
      <c r="D558" s="1">
        <v>43946</v>
      </c>
      <c r="E558">
        <v>889940917</v>
      </c>
      <c r="F558" s="1">
        <v>43951</v>
      </c>
      <c r="G558">
        <v>2149</v>
      </c>
      <c r="H558">
        <v>205.7</v>
      </c>
      <c r="I558">
        <v>117.11</v>
      </c>
      <c r="J558">
        <v>442049.3</v>
      </c>
      <c r="K558">
        <v>251669.38999999998</v>
      </c>
    </row>
    <row r="559" spans="1:11" x14ac:dyDescent="0.35">
      <c r="A559" t="s">
        <v>557</v>
      </c>
      <c r="B559" t="s">
        <v>978</v>
      </c>
      <c r="C559" t="s">
        <v>19</v>
      </c>
      <c r="D559" s="1">
        <v>44516</v>
      </c>
      <c r="E559">
        <v>211913239</v>
      </c>
      <c r="F559" s="1">
        <v>44527</v>
      </c>
      <c r="G559">
        <v>8692</v>
      </c>
      <c r="H559">
        <v>47.45</v>
      </c>
      <c r="I559">
        <v>31.79</v>
      </c>
      <c r="J559">
        <v>412435.4</v>
      </c>
      <c r="K559">
        <v>276318.68</v>
      </c>
    </row>
    <row r="560" spans="1:11" x14ac:dyDescent="0.35">
      <c r="A560" t="s">
        <v>558</v>
      </c>
      <c r="B560" t="s">
        <v>972</v>
      </c>
      <c r="C560" t="s">
        <v>12</v>
      </c>
      <c r="D560" s="1">
        <v>44783</v>
      </c>
      <c r="E560">
        <v>558649051</v>
      </c>
      <c r="F560" s="1">
        <v>44788</v>
      </c>
      <c r="G560">
        <v>5523</v>
      </c>
      <c r="H560">
        <v>205.7</v>
      </c>
      <c r="I560">
        <v>117.11</v>
      </c>
      <c r="J560">
        <v>1136081.0999999999</v>
      </c>
      <c r="K560">
        <v>646798.53</v>
      </c>
    </row>
    <row r="561" spans="1:11" x14ac:dyDescent="0.35">
      <c r="A561" t="s">
        <v>559</v>
      </c>
      <c r="B561" t="s">
        <v>976</v>
      </c>
      <c r="C561" t="s">
        <v>14</v>
      </c>
      <c r="D561" s="1">
        <v>44393</v>
      </c>
      <c r="E561">
        <v>591134679</v>
      </c>
      <c r="F561" s="1">
        <v>44431</v>
      </c>
      <c r="G561">
        <v>8743</v>
      </c>
      <c r="H561">
        <v>255.28</v>
      </c>
      <c r="I561">
        <v>159.41999999999999</v>
      </c>
      <c r="J561">
        <v>2231913.04</v>
      </c>
      <c r="K561">
        <v>1393809.0599999998</v>
      </c>
    </row>
    <row r="562" spans="1:11" x14ac:dyDescent="0.35">
      <c r="A562" t="s">
        <v>560</v>
      </c>
      <c r="B562" t="s">
        <v>980</v>
      </c>
      <c r="C562" t="s">
        <v>17</v>
      </c>
      <c r="D562" s="1">
        <v>44708</v>
      </c>
      <c r="E562">
        <v>840668952</v>
      </c>
      <c r="F562" s="1">
        <v>44752</v>
      </c>
      <c r="G562">
        <v>1479</v>
      </c>
      <c r="H562">
        <v>437.2</v>
      </c>
      <c r="I562">
        <v>263.33</v>
      </c>
      <c r="J562">
        <v>646618.79999999993</v>
      </c>
      <c r="K562">
        <v>389465.06999999995</v>
      </c>
    </row>
    <row r="563" spans="1:11" x14ac:dyDescent="0.35">
      <c r="A563" t="s">
        <v>561</v>
      </c>
      <c r="B563" t="s">
        <v>990</v>
      </c>
      <c r="C563" t="s">
        <v>12</v>
      </c>
      <c r="D563" s="1">
        <v>44103</v>
      </c>
      <c r="E563">
        <v>558863198</v>
      </c>
      <c r="F563" s="1">
        <v>44127</v>
      </c>
      <c r="G563">
        <v>8894</v>
      </c>
      <c r="H563">
        <v>668.27</v>
      </c>
      <c r="I563">
        <v>502.54</v>
      </c>
      <c r="J563">
        <v>5943593.3799999999</v>
      </c>
      <c r="K563">
        <v>4469590.76</v>
      </c>
    </row>
    <row r="564" spans="1:11" x14ac:dyDescent="0.35">
      <c r="A564" t="s">
        <v>562</v>
      </c>
      <c r="B564" t="s">
        <v>976</v>
      </c>
      <c r="C564" t="s">
        <v>17</v>
      </c>
      <c r="D564" s="1">
        <v>44754</v>
      </c>
      <c r="E564">
        <v>867641246</v>
      </c>
      <c r="F564" s="1">
        <v>44769</v>
      </c>
      <c r="G564">
        <v>3180</v>
      </c>
      <c r="H564">
        <v>255.28</v>
      </c>
      <c r="I564">
        <v>159.41999999999999</v>
      </c>
      <c r="J564">
        <v>811790.4</v>
      </c>
      <c r="K564">
        <v>506955.6</v>
      </c>
    </row>
    <row r="565" spans="1:11" x14ac:dyDescent="0.35">
      <c r="A565" t="s">
        <v>563</v>
      </c>
      <c r="B565" t="s">
        <v>972</v>
      </c>
      <c r="C565" t="s">
        <v>17</v>
      </c>
      <c r="D565" s="1">
        <v>44808</v>
      </c>
      <c r="E565">
        <v>709239423</v>
      </c>
      <c r="F565" s="1">
        <v>44828</v>
      </c>
      <c r="G565">
        <v>8561</v>
      </c>
      <c r="H565">
        <v>205.7</v>
      </c>
      <c r="I565">
        <v>117.11</v>
      </c>
      <c r="J565">
        <v>1760997.7</v>
      </c>
      <c r="K565">
        <v>1002578.71</v>
      </c>
    </row>
    <row r="566" spans="1:11" x14ac:dyDescent="0.35">
      <c r="A566" t="s">
        <v>564</v>
      </c>
      <c r="B566" t="s">
        <v>972</v>
      </c>
      <c r="C566" t="s">
        <v>12</v>
      </c>
      <c r="D566" s="1">
        <v>44124</v>
      </c>
      <c r="E566">
        <v>896206557</v>
      </c>
      <c r="F566" s="1">
        <v>44151</v>
      </c>
      <c r="G566">
        <v>6291</v>
      </c>
      <c r="H566">
        <v>205.7</v>
      </c>
      <c r="I566">
        <v>117.11</v>
      </c>
      <c r="J566">
        <v>1294058.7</v>
      </c>
      <c r="K566">
        <v>736739.01</v>
      </c>
    </row>
    <row r="567" spans="1:11" x14ac:dyDescent="0.35">
      <c r="A567" t="s">
        <v>565</v>
      </c>
      <c r="B567" t="s">
        <v>976</v>
      </c>
      <c r="C567" t="s">
        <v>12</v>
      </c>
      <c r="D567" s="1">
        <v>44799</v>
      </c>
      <c r="E567">
        <v>961403977</v>
      </c>
      <c r="F567" s="1">
        <v>44839</v>
      </c>
      <c r="G567">
        <v>9656</v>
      </c>
      <c r="H567">
        <v>255.28</v>
      </c>
      <c r="I567">
        <v>159.41999999999999</v>
      </c>
      <c r="J567">
        <v>2464983.6800000002</v>
      </c>
      <c r="K567">
        <v>1539359.5199999998</v>
      </c>
    </row>
    <row r="568" spans="1:11" x14ac:dyDescent="0.35">
      <c r="A568" t="s">
        <v>566</v>
      </c>
      <c r="B568" t="s">
        <v>968</v>
      </c>
      <c r="C568" t="s">
        <v>14</v>
      </c>
      <c r="D568" s="1">
        <v>44374</v>
      </c>
      <c r="E568">
        <v>508005511</v>
      </c>
      <c r="F568" s="1">
        <v>44423</v>
      </c>
      <c r="G568">
        <v>8975</v>
      </c>
      <c r="H568">
        <v>152.58000000000001</v>
      </c>
      <c r="I568">
        <v>97.44</v>
      </c>
      <c r="J568">
        <v>1369405.5</v>
      </c>
      <c r="K568">
        <v>874524</v>
      </c>
    </row>
    <row r="569" spans="1:11" x14ac:dyDescent="0.35">
      <c r="A569" t="s">
        <v>79</v>
      </c>
      <c r="B569" t="s">
        <v>974</v>
      </c>
      <c r="C569" t="s">
        <v>12</v>
      </c>
      <c r="D569" s="1">
        <v>44717</v>
      </c>
      <c r="E569">
        <v>559497487</v>
      </c>
      <c r="F569" s="1">
        <v>44726</v>
      </c>
      <c r="G569">
        <v>6595</v>
      </c>
      <c r="H569">
        <v>9.33</v>
      </c>
      <c r="I569">
        <v>6.92</v>
      </c>
      <c r="J569">
        <v>61531.35</v>
      </c>
      <c r="K569">
        <v>45637.4</v>
      </c>
    </row>
    <row r="570" spans="1:11" x14ac:dyDescent="0.35">
      <c r="A570" t="s">
        <v>567</v>
      </c>
      <c r="B570" t="s">
        <v>980</v>
      </c>
      <c r="C570" t="s">
        <v>17</v>
      </c>
      <c r="D570" s="1">
        <v>44185</v>
      </c>
      <c r="E570">
        <v>409678733</v>
      </c>
      <c r="F570" s="1">
        <v>44198</v>
      </c>
      <c r="G570">
        <v>1896</v>
      </c>
      <c r="H570">
        <v>437.2</v>
      </c>
      <c r="I570">
        <v>263.33</v>
      </c>
      <c r="J570">
        <v>828931.2</v>
      </c>
      <c r="K570">
        <v>499273.68</v>
      </c>
    </row>
    <row r="571" spans="1:11" x14ac:dyDescent="0.35">
      <c r="A571" t="s">
        <v>568</v>
      </c>
      <c r="B571" t="s">
        <v>980</v>
      </c>
      <c r="C571" t="s">
        <v>19</v>
      </c>
      <c r="D571" s="1">
        <v>44418</v>
      </c>
      <c r="E571">
        <v>772660577</v>
      </c>
      <c r="F571" s="1">
        <v>44434</v>
      </c>
      <c r="G571">
        <v>6290</v>
      </c>
      <c r="H571">
        <v>437.2</v>
      </c>
      <c r="I571">
        <v>263.33</v>
      </c>
      <c r="J571">
        <v>2749988</v>
      </c>
      <c r="K571">
        <v>1656345.7</v>
      </c>
    </row>
    <row r="572" spans="1:11" x14ac:dyDescent="0.35">
      <c r="A572" t="s">
        <v>569</v>
      </c>
      <c r="B572" t="s">
        <v>978</v>
      </c>
      <c r="C572" t="s">
        <v>12</v>
      </c>
      <c r="D572" s="1">
        <v>44590</v>
      </c>
      <c r="E572">
        <v>632866847</v>
      </c>
      <c r="F572" s="1">
        <v>44604</v>
      </c>
      <c r="G572">
        <v>8219</v>
      </c>
      <c r="H572">
        <v>47.45</v>
      </c>
      <c r="I572">
        <v>31.79</v>
      </c>
      <c r="J572">
        <v>389991.55000000005</v>
      </c>
      <c r="K572">
        <v>261282.00999999998</v>
      </c>
    </row>
    <row r="573" spans="1:11" x14ac:dyDescent="0.35">
      <c r="A573" t="s">
        <v>570</v>
      </c>
      <c r="B573" t="s">
        <v>968</v>
      </c>
      <c r="C573" t="s">
        <v>19</v>
      </c>
      <c r="D573" s="1">
        <v>44022</v>
      </c>
      <c r="E573">
        <v>395033872</v>
      </c>
      <c r="F573" s="1">
        <v>44035</v>
      </c>
      <c r="G573">
        <v>8156</v>
      </c>
      <c r="H573">
        <v>152.58000000000001</v>
      </c>
      <c r="I573">
        <v>97.44</v>
      </c>
      <c r="J573">
        <v>1244442.4800000002</v>
      </c>
      <c r="K573">
        <v>794720.64</v>
      </c>
    </row>
    <row r="574" spans="1:11" x14ac:dyDescent="0.35">
      <c r="A574" t="s">
        <v>571</v>
      </c>
      <c r="B574" t="s">
        <v>982</v>
      </c>
      <c r="C574" t="s">
        <v>14</v>
      </c>
      <c r="D574" s="1">
        <v>44793</v>
      </c>
      <c r="E574">
        <v>534210479</v>
      </c>
      <c r="F574" s="1">
        <v>44802</v>
      </c>
      <c r="G574">
        <v>3607</v>
      </c>
      <c r="H574">
        <v>81.73</v>
      </c>
      <c r="I574">
        <v>56.67</v>
      </c>
      <c r="J574">
        <v>294800.11</v>
      </c>
      <c r="K574">
        <v>204408.69</v>
      </c>
    </row>
    <row r="575" spans="1:11" x14ac:dyDescent="0.35">
      <c r="A575" t="s">
        <v>572</v>
      </c>
      <c r="B575" t="s">
        <v>974</v>
      </c>
      <c r="C575" t="s">
        <v>14</v>
      </c>
      <c r="D575" s="1">
        <v>43908</v>
      </c>
      <c r="E575">
        <v>245757997</v>
      </c>
      <c r="F575" s="1">
        <v>43920</v>
      </c>
      <c r="G575">
        <v>4107</v>
      </c>
      <c r="H575">
        <v>9.33</v>
      </c>
      <c r="I575">
        <v>6.92</v>
      </c>
      <c r="J575">
        <v>38318.31</v>
      </c>
      <c r="K575">
        <v>28420.44</v>
      </c>
    </row>
    <row r="576" spans="1:11" x14ac:dyDescent="0.35">
      <c r="A576" t="s">
        <v>573</v>
      </c>
      <c r="B576" t="s">
        <v>984</v>
      </c>
      <c r="C576" t="s">
        <v>17</v>
      </c>
      <c r="D576" s="1">
        <v>44260</v>
      </c>
      <c r="E576">
        <v>595350253</v>
      </c>
      <c r="F576" s="1">
        <v>44279</v>
      </c>
      <c r="G576">
        <v>6225</v>
      </c>
      <c r="H576">
        <v>651.21</v>
      </c>
      <c r="I576">
        <v>524.96</v>
      </c>
      <c r="J576">
        <v>4053782.25</v>
      </c>
      <c r="K576">
        <v>3267876</v>
      </c>
    </row>
    <row r="577" spans="1:11" x14ac:dyDescent="0.35">
      <c r="A577" t="s">
        <v>574</v>
      </c>
      <c r="B577" t="s">
        <v>972</v>
      </c>
      <c r="C577" t="s">
        <v>17</v>
      </c>
      <c r="D577" s="1">
        <v>44715</v>
      </c>
      <c r="E577">
        <v>468973577</v>
      </c>
      <c r="F577" s="1">
        <v>44755</v>
      </c>
      <c r="G577">
        <v>8558</v>
      </c>
      <c r="H577">
        <v>205.7</v>
      </c>
      <c r="I577">
        <v>117.11</v>
      </c>
      <c r="J577">
        <v>1760380.5999999999</v>
      </c>
      <c r="K577">
        <v>1002227.38</v>
      </c>
    </row>
    <row r="578" spans="1:11" x14ac:dyDescent="0.35">
      <c r="A578" t="s">
        <v>575</v>
      </c>
      <c r="B578" t="s">
        <v>970</v>
      </c>
      <c r="C578" t="s">
        <v>14</v>
      </c>
      <c r="D578" s="1">
        <v>44806</v>
      </c>
      <c r="E578">
        <v>622926795</v>
      </c>
      <c r="F578" s="1">
        <v>44830</v>
      </c>
      <c r="G578">
        <v>6736</v>
      </c>
      <c r="H578">
        <v>421.89</v>
      </c>
      <c r="I578">
        <v>364.69</v>
      </c>
      <c r="J578">
        <v>2841851.04</v>
      </c>
      <c r="K578">
        <v>2456551.84</v>
      </c>
    </row>
    <row r="579" spans="1:11" x14ac:dyDescent="0.35">
      <c r="A579" t="s">
        <v>576</v>
      </c>
      <c r="B579" t="s">
        <v>990</v>
      </c>
      <c r="C579" t="s">
        <v>19</v>
      </c>
      <c r="D579" s="1">
        <v>44213</v>
      </c>
      <c r="E579">
        <v>533821237</v>
      </c>
      <c r="F579" s="1">
        <v>44248</v>
      </c>
      <c r="G579">
        <v>8421</v>
      </c>
      <c r="H579">
        <v>668.27</v>
      </c>
      <c r="I579">
        <v>502.54</v>
      </c>
      <c r="J579">
        <v>5627501.6699999999</v>
      </c>
      <c r="K579">
        <v>4231889.34</v>
      </c>
    </row>
    <row r="580" spans="1:11" x14ac:dyDescent="0.35">
      <c r="A580" t="s">
        <v>577</v>
      </c>
      <c r="B580" t="s">
        <v>982</v>
      </c>
      <c r="C580" t="s">
        <v>17</v>
      </c>
      <c r="D580" s="1">
        <v>44330</v>
      </c>
      <c r="E580">
        <v>648580729</v>
      </c>
      <c r="F580" s="1">
        <v>44351</v>
      </c>
      <c r="G580">
        <v>8306</v>
      </c>
      <c r="H580">
        <v>81.73</v>
      </c>
      <c r="I580">
        <v>56.67</v>
      </c>
      <c r="J580">
        <v>678849.38</v>
      </c>
      <c r="K580">
        <v>470701.02</v>
      </c>
    </row>
    <row r="581" spans="1:11" x14ac:dyDescent="0.35">
      <c r="A581" t="s">
        <v>578</v>
      </c>
      <c r="B581" t="s">
        <v>972</v>
      </c>
      <c r="C581" t="s">
        <v>12</v>
      </c>
      <c r="D581" s="1">
        <v>44608</v>
      </c>
      <c r="E581">
        <v>134441602</v>
      </c>
      <c r="F581" s="1">
        <v>44656</v>
      </c>
      <c r="G581">
        <v>3112</v>
      </c>
      <c r="H581">
        <v>205.7</v>
      </c>
      <c r="I581">
        <v>117.11</v>
      </c>
      <c r="J581">
        <v>640138.39999999991</v>
      </c>
      <c r="K581">
        <v>364446.32</v>
      </c>
    </row>
    <row r="582" spans="1:11" x14ac:dyDescent="0.35">
      <c r="A582" t="s">
        <v>579</v>
      </c>
      <c r="B582" t="s">
        <v>980</v>
      </c>
      <c r="C582" t="s">
        <v>17</v>
      </c>
      <c r="D582" s="1">
        <v>44125</v>
      </c>
      <c r="E582">
        <v>928952682</v>
      </c>
      <c r="F582" s="1">
        <v>44140</v>
      </c>
      <c r="G582">
        <v>6597</v>
      </c>
      <c r="H582">
        <v>437.2</v>
      </c>
      <c r="I582">
        <v>263.33</v>
      </c>
      <c r="J582">
        <v>2884208.4</v>
      </c>
      <c r="K582">
        <v>1737188.01</v>
      </c>
    </row>
    <row r="583" spans="1:11" x14ac:dyDescent="0.35">
      <c r="A583" t="s">
        <v>580</v>
      </c>
      <c r="B583" t="s">
        <v>984</v>
      </c>
      <c r="C583" t="s">
        <v>19</v>
      </c>
      <c r="D583" s="1">
        <v>44192</v>
      </c>
      <c r="E583">
        <v>989975297</v>
      </c>
      <c r="F583" s="1">
        <v>44234</v>
      </c>
      <c r="G583">
        <v>4545</v>
      </c>
      <c r="H583">
        <v>651.21</v>
      </c>
      <c r="I583">
        <v>524.96</v>
      </c>
      <c r="J583">
        <v>2959749.45</v>
      </c>
      <c r="K583">
        <v>2385943.2000000002</v>
      </c>
    </row>
    <row r="584" spans="1:11" x14ac:dyDescent="0.35">
      <c r="A584" t="s">
        <v>581</v>
      </c>
      <c r="B584" t="s">
        <v>982</v>
      </c>
      <c r="C584" t="s">
        <v>17</v>
      </c>
      <c r="D584" s="1">
        <v>44702</v>
      </c>
      <c r="E584">
        <v>145683276</v>
      </c>
      <c r="F584" s="1">
        <v>44730</v>
      </c>
      <c r="G584">
        <v>9774</v>
      </c>
      <c r="H584">
        <v>81.73</v>
      </c>
      <c r="I584">
        <v>56.67</v>
      </c>
      <c r="J584">
        <v>798829.02</v>
      </c>
      <c r="K584">
        <v>553892.58000000007</v>
      </c>
    </row>
    <row r="585" spans="1:11" x14ac:dyDescent="0.35">
      <c r="A585" t="s">
        <v>582</v>
      </c>
      <c r="B585" t="s">
        <v>980</v>
      </c>
      <c r="C585" t="s">
        <v>19</v>
      </c>
      <c r="D585" s="1">
        <v>44649</v>
      </c>
      <c r="E585">
        <v>544562947</v>
      </c>
      <c r="F585" s="1">
        <v>44692</v>
      </c>
      <c r="G585">
        <v>7132</v>
      </c>
      <c r="H585">
        <v>437.2</v>
      </c>
      <c r="I585">
        <v>263.33</v>
      </c>
      <c r="J585">
        <v>3118110.4</v>
      </c>
      <c r="K585">
        <v>1878069.5599999998</v>
      </c>
    </row>
    <row r="586" spans="1:11" x14ac:dyDescent="0.35">
      <c r="A586" t="s">
        <v>583</v>
      </c>
      <c r="B586" t="s">
        <v>968</v>
      </c>
      <c r="C586" t="s">
        <v>12</v>
      </c>
      <c r="D586" s="1">
        <v>44742</v>
      </c>
      <c r="E586">
        <v>805413138</v>
      </c>
      <c r="F586" s="1">
        <v>44783</v>
      </c>
      <c r="G586">
        <v>8501</v>
      </c>
      <c r="H586">
        <v>152.58000000000001</v>
      </c>
      <c r="I586">
        <v>97.44</v>
      </c>
      <c r="J586">
        <v>1297082.58</v>
      </c>
      <c r="K586">
        <v>828337.44</v>
      </c>
    </row>
    <row r="587" spans="1:11" x14ac:dyDescent="0.35">
      <c r="A587" t="s">
        <v>584</v>
      </c>
      <c r="B587" t="s">
        <v>978</v>
      </c>
      <c r="C587" t="s">
        <v>17</v>
      </c>
      <c r="D587" s="1">
        <v>44792</v>
      </c>
      <c r="E587">
        <v>967345178</v>
      </c>
      <c r="F587" s="1">
        <v>44833</v>
      </c>
      <c r="G587">
        <v>7789</v>
      </c>
      <c r="H587">
        <v>47.45</v>
      </c>
      <c r="I587">
        <v>31.79</v>
      </c>
      <c r="J587">
        <v>369588.05000000005</v>
      </c>
      <c r="K587">
        <v>247612.31</v>
      </c>
    </row>
    <row r="588" spans="1:11" x14ac:dyDescent="0.35">
      <c r="A588" t="s">
        <v>585</v>
      </c>
      <c r="B588" t="s">
        <v>988</v>
      </c>
      <c r="C588" t="s">
        <v>14</v>
      </c>
      <c r="D588" s="1">
        <v>44234</v>
      </c>
      <c r="E588">
        <v>239782893</v>
      </c>
      <c r="F588" s="1">
        <v>44283</v>
      </c>
      <c r="G588">
        <v>5941</v>
      </c>
      <c r="H588">
        <v>109.28</v>
      </c>
      <c r="I588">
        <v>35.840000000000003</v>
      </c>
      <c r="J588">
        <v>649232.48</v>
      </c>
      <c r="K588">
        <v>212925.44000000003</v>
      </c>
    </row>
    <row r="589" spans="1:11" x14ac:dyDescent="0.35">
      <c r="A589" t="s">
        <v>586</v>
      </c>
      <c r="B589" t="s">
        <v>982</v>
      </c>
      <c r="C589" t="s">
        <v>12</v>
      </c>
      <c r="D589" s="1">
        <v>44739</v>
      </c>
      <c r="E589">
        <v>152462613</v>
      </c>
      <c r="F589" s="1">
        <v>44774</v>
      </c>
      <c r="G589">
        <v>5930</v>
      </c>
      <c r="H589">
        <v>81.73</v>
      </c>
      <c r="I589">
        <v>56.67</v>
      </c>
      <c r="J589">
        <v>484658.9</v>
      </c>
      <c r="K589">
        <v>336053.10000000003</v>
      </c>
    </row>
    <row r="590" spans="1:11" x14ac:dyDescent="0.35">
      <c r="A590" t="s">
        <v>587</v>
      </c>
      <c r="B590" t="s">
        <v>988</v>
      </c>
      <c r="C590" t="s">
        <v>12</v>
      </c>
      <c r="D590" s="1">
        <v>44470</v>
      </c>
      <c r="E590">
        <v>505433166</v>
      </c>
      <c r="F590" s="1">
        <v>44478</v>
      </c>
      <c r="G590">
        <v>7760</v>
      </c>
      <c r="H590">
        <v>109.28</v>
      </c>
      <c r="I590">
        <v>35.840000000000003</v>
      </c>
      <c r="J590">
        <v>848012.80000000005</v>
      </c>
      <c r="K590">
        <v>278118.40000000002</v>
      </c>
    </row>
    <row r="591" spans="1:11" x14ac:dyDescent="0.35">
      <c r="A591" t="s">
        <v>588</v>
      </c>
      <c r="B591" t="s">
        <v>974</v>
      </c>
      <c r="C591" t="s">
        <v>17</v>
      </c>
      <c r="D591" s="1">
        <v>44869</v>
      </c>
      <c r="E591">
        <v>719055879</v>
      </c>
      <c r="F591" s="1">
        <v>44909</v>
      </c>
      <c r="G591">
        <v>3468</v>
      </c>
      <c r="H591">
        <v>9.33</v>
      </c>
      <c r="I591">
        <v>6.92</v>
      </c>
      <c r="J591">
        <v>32356.44</v>
      </c>
      <c r="K591">
        <v>23998.560000000001</v>
      </c>
    </row>
    <row r="592" spans="1:11" x14ac:dyDescent="0.35">
      <c r="A592" t="s">
        <v>589</v>
      </c>
      <c r="B592" t="s">
        <v>980</v>
      </c>
      <c r="C592" t="s">
        <v>19</v>
      </c>
      <c r="D592" s="1">
        <v>43872</v>
      </c>
      <c r="E592">
        <v>284004580</v>
      </c>
      <c r="F592" s="1">
        <v>43912</v>
      </c>
      <c r="G592">
        <v>2121</v>
      </c>
      <c r="H592">
        <v>437.2</v>
      </c>
      <c r="I592">
        <v>263.33</v>
      </c>
      <c r="J592">
        <v>927301.2</v>
      </c>
      <c r="K592">
        <v>558522.92999999993</v>
      </c>
    </row>
    <row r="593" spans="1:11" x14ac:dyDescent="0.35">
      <c r="A593" t="s">
        <v>590</v>
      </c>
      <c r="B593" t="s">
        <v>984</v>
      </c>
      <c r="C593" t="s">
        <v>19</v>
      </c>
      <c r="D593" s="1">
        <v>44780</v>
      </c>
      <c r="E593">
        <v>111265599</v>
      </c>
      <c r="F593" s="1">
        <v>44811</v>
      </c>
      <c r="G593">
        <v>4818</v>
      </c>
      <c r="H593">
        <v>651.21</v>
      </c>
      <c r="I593">
        <v>524.96</v>
      </c>
      <c r="J593">
        <v>3137529.7800000003</v>
      </c>
      <c r="K593">
        <v>2529257.2800000003</v>
      </c>
    </row>
    <row r="594" spans="1:11" x14ac:dyDescent="0.35">
      <c r="A594" t="s">
        <v>591</v>
      </c>
      <c r="B594" t="s">
        <v>976</v>
      </c>
      <c r="C594" t="s">
        <v>17</v>
      </c>
      <c r="D594" s="1">
        <v>44255</v>
      </c>
      <c r="E594">
        <v>282137763</v>
      </c>
      <c r="F594" s="1">
        <v>44280</v>
      </c>
      <c r="G594">
        <v>9689</v>
      </c>
      <c r="H594">
        <v>255.28</v>
      </c>
      <c r="I594">
        <v>159.41999999999999</v>
      </c>
      <c r="J594">
        <v>2473407.92</v>
      </c>
      <c r="K594">
        <v>1544620.38</v>
      </c>
    </row>
    <row r="595" spans="1:11" x14ac:dyDescent="0.35">
      <c r="A595" t="s">
        <v>592</v>
      </c>
      <c r="B595" t="s">
        <v>990</v>
      </c>
      <c r="C595" t="s">
        <v>14</v>
      </c>
      <c r="D595" s="1">
        <v>44327</v>
      </c>
      <c r="E595">
        <v>498232400</v>
      </c>
      <c r="F595" s="1">
        <v>44374</v>
      </c>
      <c r="G595">
        <v>6894</v>
      </c>
      <c r="H595">
        <v>668.27</v>
      </c>
      <c r="I595">
        <v>502.54</v>
      </c>
      <c r="J595">
        <v>4607053.38</v>
      </c>
      <c r="K595">
        <v>3464510.7600000002</v>
      </c>
    </row>
    <row r="596" spans="1:11" x14ac:dyDescent="0.35">
      <c r="A596" t="s">
        <v>593</v>
      </c>
      <c r="B596" t="s">
        <v>972</v>
      </c>
      <c r="C596" t="s">
        <v>19</v>
      </c>
      <c r="D596" s="1">
        <v>44563</v>
      </c>
      <c r="E596">
        <v>531473338</v>
      </c>
      <c r="F596" s="1">
        <v>44572</v>
      </c>
      <c r="G596">
        <v>3626</v>
      </c>
      <c r="H596">
        <v>205.7</v>
      </c>
      <c r="I596">
        <v>117.11</v>
      </c>
      <c r="J596">
        <v>745868.2</v>
      </c>
      <c r="K596">
        <v>424640.86</v>
      </c>
    </row>
    <row r="597" spans="1:11" x14ac:dyDescent="0.35">
      <c r="A597" t="s">
        <v>72</v>
      </c>
      <c r="B597" t="s">
        <v>976</v>
      </c>
      <c r="C597" t="s">
        <v>12</v>
      </c>
      <c r="D597" s="1">
        <v>44674</v>
      </c>
      <c r="E597">
        <v>674096906</v>
      </c>
      <c r="F597" s="1">
        <v>44713</v>
      </c>
      <c r="G597">
        <v>9109</v>
      </c>
      <c r="H597">
        <v>255.28</v>
      </c>
      <c r="I597">
        <v>159.41999999999999</v>
      </c>
      <c r="J597">
        <v>2325345.52</v>
      </c>
      <c r="K597">
        <v>1452156.7799999998</v>
      </c>
    </row>
    <row r="598" spans="1:11" x14ac:dyDescent="0.35">
      <c r="A598" t="s">
        <v>594</v>
      </c>
      <c r="B598" t="s">
        <v>976</v>
      </c>
      <c r="C598" t="s">
        <v>14</v>
      </c>
      <c r="D598" s="1">
        <v>44000</v>
      </c>
      <c r="E598">
        <v>388651931</v>
      </c>
      <c r="F598" s="1">
        <v>44050</v>
      </c>
      <c r="G598">
        <v>9598</v>
      </c>
      <c r="H598">
        <v>255.28</v>
      </c>
      <c r="I598">
        <v>159.41999999999999</v>
      </c>
      <c r="J598">
        <v>2450177.44</v>
      </c>
      <c r="K598">
        <v>1530113.16</v>
      </c>
    </row>
    <row r="599" spans="1:11" x14ac:dyDescent="0.35">
      <c r="A599" t="s">
        <v>595</v>
      </c>
      <c r="B599" t="s">
        <v>984</v>
      </c>
      <c r="C599" t="s">
        <v>19</v>
      </c>
      <c r="D599" s="1">
        <v>44112</v>
      </c>
      <c r="E599">
        <v>557999742</v>
      </c>
      <c r="F599" s="1">
        <v>44132</v>
      </c>
      <c r="G599">
        <v>3378</v>
      </c>
      <c r="H599">
        <v>651.21</v>
      </c>
      <c r="I599">
        <v>524.96</v>
      </c>
      <c r="J599">
        <v>2199787.3800000004</v>
      </c>
      <c r="K599">
        <v>1773314.8800000001</v>
      </c>
    </row>
    <row r="600" spans="1:11" x14ac:dyDescent="0.35">
      <c r="A600" t="s">
        <v>437</v>
      </c>
      <c r="B600" t="s">
        <v>968</v>
      </c>
      <c r="C600" t="s">
        <v>14</v>
      </c>
      <c r="D600" s="1">
        <v>44120</v>
      </c>
      <c r="E600">
        <v>335314166</v>
      </c>
      <c r="F600" s="1">
        <v>44136</v>
      </c>
      <c r="G600">
        <v>5768</v>
      </c>
      <c r="H600">
        <v>152.58000000000001</v>
      </c>
      <c r="I600">
        <v>97.44</v>
      </c>
      <c r="J600">
        <v>880081.44000000006</v>
      </c>
      <c r="K600">
        <v>562033.92000000004</v>
      </c>
    </row>
    <row r="601" spans="1:11" x14ac:dyDescent="0.35">
      <c r="A601" t="s">
        <v>596</v>
      </c>
      <c r="B601" t="s">
        <v>970</v>
      </c>
      <c r="C601" t="s">
        <v>12</v>
      </c>
      <c r="D601" s="1">
        <v>44324</v>
      </c>
      <c r="E601">
        <v>294081532</v>
      </c>
      <c r="F601" s="1">
        <v>44340</v>
      </c>
      <c r="G601">
        <v>4115</v>
      </c>
      <c r="H601">
        <v>421.89</v>
      </c>
      <c r="I601">
        <v>364.69</v>
      </c>
      <c r="J601">
        <v>1736077.3499999999</v>
      </c>
      <c r="K601">
        <v>1500699.35</v>
      </c>
    </row>
    <row r="602" spans="1:11" x14ac:dyDescent="0.35">
      <c r="A602" t="s">
        <v>597</v>
      </c>
      <c r="B602" t="s">
        <v>988</v>
      </c>
      <c r="C602" t="s">
        <v>19</v>
      </c>
      <c r="D602" s="1">
        <v>44650</v>
      </c>
      <c r="E602">
        <v>178100669</v>
      </c>
      <c r="F602" s="1">
        <v>44690</v>
      </c>
      <c r="G602">
        <v>2801</v>
      </c>
      <c r="H602">
        <v>109.28</v>
      </c>
      <c r="I602">
        <v>35.840000000000003</v>
      </c>
      <c r="J602">
        <v>306093.28000000003</v>
      </c>
      <c r="K602">
        <v>100387.84000000001</v>
      </c>
    </row>
    <row r="603" spans="1:11" x14ac:dyDescent="0.35">
      <c r="A603" t="s">
        <v>598</v>
      </c>
      <c r="B603" t="s">
        <v>990</v>
      </c>
      <c r="C603" t="s">
        <v>19</v>
      </c>
      <c r="D603" s="1">
        <v>44125</v>
      </c>
      <c r="E603">
        <v>251482903</v>
      </c>
      <c r="F603" s="1">
        <v>44141</v>
      </c>
      <c r="G603">
        <v>8234</v>
      </c>
      <c r="H603">
        <v>668.27</v>
      </c>
      <c r="I603">
        <v>502.54</v>
      </c>
      <c r="J603">
        <v>5502535.1799999997</v>
      </c>
      <c r="K603">
        <v>4137914.3600000003</v>
      </c>
    </row>
    <row r="604" spans="1:11" x14ac:dyDescent="0.35">
      <c r="A604" t="s">
        <v>599</v>
      </c>
      <c r="B604" t="s">
        <v>970</v>
      </c>
      <c r="C604" t="s">
        <v>17</v>
      </c>
      <c r="D604" s="1">
        <v>44534</v>
      </c>
      <c r="E604">
        <v>848652064</v>
      </c>
      <c r="F604" s="1">
        <v>44550</v>
      </c>
      <c r="G604">
        <v>3860</v>
      </c>
      <c r="H604">
        <v>421.89</v>
      </c>
      <c r="I604">
        <v>364.69</v>
      </c>
      <c r="J604">
        <v>1628495.4</v>
      </c>
      <c r="K604">
        <v>1407703.4</v>
      </c>
    </row>
    <row r="605" spans="1:11" x14ac:dyDescent="0.35">
      <c r="A605" t="s">
        <v>600</v>
      </c>
      <c r="B605" t="s">
        <v>972</v>
      </c>
      <c r="C605" t="s">
        <v>12</v>
      </c>
      <c r="D605" s="1">
        <v>44676</v>
      </c>
      <c r="E605">
        <v>124344480</v>
      </c>
      <c r="F605" s="1">
        <v>44697</v>
      </c>
      <c r="G605">
        <v>5150</v>
      </c>
      <c r="H605">
        <v>205.7</v>
      </c>
      <c r="I605">
        <v>117.11</v>
      </c>
      <c r="J605">
        <v>1059355</v>
      </c>
      <c r="K605">
        <v>603116.5</v>
      </c>
    </row>
    <row r="606" spans="1:11" x14ac:dyDescent="0.35">
      <c r="A606" t="s">
        <v>601</v>
      </c>
      <c r="B606" t="s">
        <v>982</v>
      </c>
      <c r="C606" t="s">
        <v>17</v>
      </c>
      <c r="D606" s="1">
        <v>44020</v>
      </c>
      <c r="E606">
        <v>803608977</v>
      </c>
      <c r="F606" s="1">
        <v>44022</v>
      </c>
      <c r="G606">
        <v>4609</v>
      </c>
      <c r="H606">
        <v>81.73</v>
      </c>
      <c r="I606">
        <v>56.67</v>
      </c>
      <c r="J606">
        <v>376693.57</v>
      </c>
      <c r="K606">
        <v>261192.03</v>
      </c>
    </row>
    <row r="607" spans="1:11" x14ac:dyDescent="0.35">
      <c r="A607" t="s">
        <v>602</v>
      </c>
      <c r="B607" t="s">
        <v>988</v>
      </c>
      <c r="C607" t="s">
        <v>14</v>
      </c>
      <c r="D607" s="1">
        <v>44269</v>
      </c>
      <c r="E607">
        <v>731806886</v>
      </c>
      <c r="F607" s="1">
        <v>44314</v>
      </c>
      <c r="G607">
        <v>6775</v>
      </c>
      <c r="H607">
        <v>109.28</v>
      </c>
      <c r="I607">
        <v>35.840000000000003</v>
      </c>
      <c r="J607">
        <v>740372</v>
      </c>
      <c r="K607">
        <v>242816.00000000003</v>
      </c>
    </row>
    <row r="608" spans="1:11" x14ac:dyDescent="0.35">
      <c r="A608" t="s">
        <v>603</v>
      </c>
      <c r="B608" t="s">
        <v>986</v>
      </c>
      <c r="C608" t="s">
        <v>12</v>
      </c>
      <c r="D608" s="1">
        <v>44663</v>
      </c>
      <c r="E608">
        <v>524612033</v>
      </c>
      <c r="F608" s="1">
        <v>44682</v>
      </c>
      <c r="G608">
        <v>3213</v>
      </c>
      <c r="H608">
        <v>154.06</v>
      </c>
      <c r="I608">
        <v>90.93</v>
      </c>
      <c r="J608">
        <v>494994.78</v>
      </c>
      <c r="K608">
        <v>292158.09000000003</v>
      </c>
    </row>
    <row r="609" spans="1:11" x14ac:dyDescent="0.35">
      <c r="A609" t="s">
        <v>604</v>
      </c>
      <c r="B609" t="s">
        <v>972</v>
      </c>
      <c r="C609" t="s">
        <v>14</v>
      </c>
      <c r="D609" s="1">
        <v>44588</v>
      </c>
      <c r="E609">
        <v>418010747</v>
      </c>
      <c r="F609" s="1">
        <v>44599</v>
      </c>
      <c r="G609">
        <v>7524</v>
      </c>
      <c r="H609">
        <v>205.7</v>
      </c>
      <c r="I609">
        <v>117.11</v>
      </c>
      <c r="J609">
        <v>1547686.7999999998</v>
      </c>
      <c r="K609">
        <v>881135.64</v>
      </c>
    </row>
    <row r="610" spans="1:11" x14ac:dyDescent="0.35">
      <c r="A610" t="s">
        <v>605</v>
      </c>
      <c r="B610" t="s">
        <v>988</v>
      </c>
      <c r="C610" t="s">
        <v>17</v>
      </c>
      <c r="D610" s="1">
        <v>44100</v>
      </c>
      <c r="E610">
        <v>718301856</v>
      </c>
      <c r="F610" s="1">
        <v>44147</v>
      </c>
      <c r="G610">
        <v>336</v>
      </c>
      <c r="H610">
        <v>109.28</v>
      </c>
      <c r="I610">
        <v>35.840000000000003</v>
      </c>
      <c r="J610">
        <v>36718.080000000002</v>
      </c>
      <c r="K610">
        <v>12042.240000000002</v>
      </c>
    </row>
    <row r="611" spans="1:11" x14ac:dyDescent="0.35">
      <c r="A611" t="s">
        <v>606</v>
      </c>
      <c r="B611" t="s">
        <v>988</v>
      </c>
      <c r="C611" t="s">
        <v>19</v>
      </c>
      <c r="D611" s="1">
        <v>44446</v>
      </c>
      <c r="E611">
        <v>452096688</v>
      </c>
      <c r="F611" s="1">
        <v>44457</v>
      </c>
      <c r="G611">
        <v>4311</v>
      </c>
      <c r="H611">
        <v>109.28</v>
      </c>
      <c r="I611">
        <v>35.840000000000003</v>
      </c>
      <c r="J611">
        <v>471106.08</v>
      </c>
      <c r="K611">
        <v>154506.24000000002</v>
      </c>
    </row>
    <row r="612" spans="1:11" x14ac:dyDescent="0.35">
      <c r="A612" t="s">
        <v>607</v>
      </c>
      <c r="B612" t="s">
        <v>982</v>
      </c>
      <c r="C612" t="s">
        <v>14</v>
      </c>
      <c r="D612" s="1">
        <v>44408</v>
      </c>
      <c r="E612">
        <v>516319072</v>
      </c>
      <c r="F612" s="1">
        <v>44439</v>
      </c>
      <c r="G612">
        <v>9142</v>
      </c>
      <c r="H612">
        <v>81.73</v>
      </c>
      <c r="I612">
        <v>56.67</v>
      </c>
      <c r="J612">
        <v>747175.66</v>
      </c>
      <c r="K612">
        <v>518077.14</v>
      </c>
    </row>
    <row r="613" spans="1:11" x14ac:dyDescent="0.35">
      <c r="A613" t="s">
        <v>608</v>
      </c>
      <c r="B613" t="s">
        <v>990</v>
      </c>
      <c r="C613" t="s">
        <v>17</v>
      </c>
      <c r="D613" s="1">
        <v>43961</v>
      </c>
      <c r="E613">
        <v>528205335</v>
      </c>
      <c r="F613" s="1">
        <v>44006</v>
      </c>
      <c r="G613">
        <v>6551</v>
      </c>
      <c r="H613">
        <v>668.27</v>
      </c>
      <c r="I613">
        <v>502.54</v>
      </c>
      <c r="J613">
        <v>4377836.7699999996</v>
      </c>
      <c r="K613">
        <v>3292139.54</v>
      </c>
    </row>
    <row r="614" spans="1:11" x14ac:dyDescent="0.35">
      <c r="A614" t="s">
        <v>609</v>
      </c>
      <c r="B614" t="s">
        <v>984</v>
      </c>
      <c r="C614" t="s">
        <v>19</v>
      </c>
      <c r="D614" s="1">
        <v>44792</v>
      </c>
      <c r="E614">
        <v>175304305</v>
      </c>
      <c r="F614" s="1">
        <v>44822</v>
      </c>
      <c r="G614">
        <v>5294</v>
      </c>
      <c r="H614">
        <v>651.21</v>
      </c>
      <c r="I614">
        <v>524.96</v>
      </c>
      <c r="J614">
        <v>3447505.74</v>
      </c>
      <c r="K614">
        <v>2779138.24</v>
      </c>
    </row>
    <row r="615" spans="1:11" x14ac:dyDescent="0.35">
      <c r="A615" t="s">
        <v>610</v>
      </c>
      <c r="B615" t="s">
        <v>978</v>
      </c>
      <c r="C615" t="s">
        <v>17</v>
      </c>
      <c r="D615" s="1">
        <v>44558</v>
      </c>
      <c r="E615">
        <v>565477311</v>
      </c>
      <c r="F615" s="1">
        <v>44583</v>
      </c>
      <c r="G615">
        <v>6157</v>
      </c>
      <c r="H615">
        <v>47.45</v>
      </c>
      <c r="I615">
        <v>31.79</v>
      </c>
      <c r="J615">
        <v>292149.65000000002</v>
      </c>
      <c r="K615">
        <v>195731.03</v>
      </c>
    </row>
    <row r="616" spans="1:11" x14ac:dyDescent="0.35">
      <c r="A616" t="s">
        <v>611</v>
      </c>
      <c r="B616" t="s">
        <v>970</v>
      </c>
      <c r="C616" t="s">
        <v>19</v>
      </c>
      <c r="D616" s="1">
        <v>44717</v>
      </c>
      <c r="E616">
        <v>176898181</v>
      </c>
      <c r="F616" s="1">
        <v>44728</v>
      </c>
      <c r="G616">
        <v>6958</v>
      </c>
      <c r="H616">
        <v>421.89</v>
      </c>
      <c r="I616">
        <v>364.69</v>
      </c>
      <c r="J616">
        <v>2935510.62</v>
      </c>
      <c r="K616">
        <v>2537513.02</v>
      </c>
    </row>
    <row r="617" spans="1:11" x14ac:dyDescent="0.35">
      <c r="A617" t="s">
        <v>612</v>
      </c>
      <c r="B617" t="s">
        <v>972</v>
      </c>
      <c r="C617" t="s">
        <v>19</v>
      </c>
      <c r="D617" s="1">
        <v>44787</v>
      </c>
      <c r="E617">
        <v>708053243</v>
      </c>
      <c r="F617" s="1">
        <v>44816</v>
      </c>
      <c r="G617">
        <v>7544</v>
      </c>
      <c r="H617">
        <v>205.7</v>
      </c>
      <c r="I617">
        <v>117.11</v>
      </c>
      <c r="J617">
        <v>1551800.7999999998</v>
      </c>
      <c r="K617">
        <v>883477.84</v>
      </c>
    </row>
    <row r="618" spans="1:11" x14ac:dyDescent="0.35">
      <c r="A618" t="s">
        <v>613</v>
      </c>
      <c r="B618" t="s">
        <v>968</v>
      </c>
      <c r="C618" t="s">
        <v>14</v>
      </c>
      <c r="D618" s="1">
        <v>43910</v>
      </c>
      <c r="E618">
        <v>327741324</v>
      </c>
      <c r="F618" s="1">
        <v>43919</v>
      </c>
      <c r="G618">
        <v>4796</v>
      </c>
      <c r="H618">
        <v>152.58000000000001</v>
      </c>
      <c r="I618">
        <v>97.44</v>
      </c>
      <c r="J618">
        <v>731773.68</v>
      </c>
      <c r="K618">
        <v>467322.24</v>
      </c>
    </row>
    <row r="619" spans="1:11" x14ac:dyDescent="0.35">
      <c r="A619" t="s">
        <v>614</v>
      </c>
      <c r="B619" t="s">
        <v>982</v>
      </c>
      <c r="C619" t="s">
        <v>19</v>
      </c>
      <c r="D619" s="1">
        <v>44507</v>
      </c>
      <c r="E619">
        <v>425073754</v>
      </c>
      <c r="F619" s="1">
        <v>44552</v>
      </c>
      <c r="G619">
        <v>7625</v>
      </c>
      <c r="H619">
        <v>81.73</v>
      </c>
      <c r="I619">
        <v>56.67</v>
      </c>
      <c r="J619">
        <v>623191.25</v>
      </c>
      <c r="K619">
        <v>432108.75</v>
      </c>
    </row>
    <row r="620" spans="1:11" x14ac:dyDescent="0.35">
      <c r="A620" t="s">
        <v>615</v>
      </c>
      <c r="B620" t="s">
        <v>974</v>
      </c>
      <c r="C620" t="s">
        <v>17</v>
      </c>
      <c r="D620" s="1">
        <v>44447</v>
      </c>
      <c r="E620">
        <v>659474360</v>
      </c>
      <c r="F620" s="1">
        <v>44464</v>
      </c>
      <c r="G620">
        <v>1973</v>
      </c>
      <c r="H620">
        <v>9.33</v>
      </c>
      <c r="I620">
        <v>6.92</v>
      </c>
      <c r="J620">
        <v>18408.09</v>
      </c>
      <c r="K620">
        <v>13653.16</v>
      </c>
    </row>
    <row r="621" spans="1:11" x14ac:dyDescent="0.35">
      <c r="A621" t="s">
        <v>616</v>
      </c>
      <c r="B621" t="s">
        <v>970</v>
      </c>
      <c r="C621" t="s">
        <v>19</v>
      </c>
      <c r="D621" s="1">
        <v>43835</v>
      </c>
      <c r="E621">
        <v>310679471</v>
      </c>
      <c r="F621" s="1">
        <v>43857</v>
      </c>
      <c r="G621">
        <v>5814</v>
      </c>
      <c r="H621">
        <v>421.89</v>
      </c>
      <c r="I621">
        <v>364.69</v>
      </c>
      <c r="J621">
        <v>2452868.46</v>
      </c>
      <c r="K621">
        <v>2120307.66</v>
      </c>
    </row>
    <row r="622" spans="1:11" x14ac:dyDescent="0.35">
      <c r="A622" t="s">
        <v>617</v>
      </c>
      <c r="B622" t="s">
        <v>980</v>
      </c>
      <c r="C622" t="s">
        <v>12</v>
      </c>
      <c r="D622" s="1">
        <v>44488</v>
      </c>
      <c r="E622">
        <v>528737914</v>
      </c>
      <c r="F622" s="1">
        <v>44531</v>
      </c>
      <c r="G622">
        <v>4153</v>
      </c>
      <c r="H622">
        <v>437.2</v>
      </c>
      <c r="I622">
        <v>263.33</v>
      </c>
      <c r="J622">
        <v>1815691.5999999999</v>
      </c>
      <c r="K622">
        <v>1093609.49</v>
      </c>
    </row>
    <row r="623" spans="1:11" x14ac:dyDescent="0.35">
      <c r="A623" t="s">
        <v>589</v>
      </c>
      <c r="B623" t="s">
        <v>968</v>
      </c>
      <c r="C623" t="s">
        <v>14</v>
      </c>
      <c r="D623" s="1">
        <v>44195</v>
      </c>
      <c r="E623">
        <v>284011018</v>
      </c>
      <c r="F623" s="1">
        <v>44221</v>
      </c>
      <c r="G623">
        <v>4026</v>
      </c>
      <c r="H623">
        <v>152.58000000000001</v>
      </c>
      <c r="I623">
        <v>97.44</v>
      </c>
      <c r="J623">
        <v>614287.08000000007</v>
      </c>
      <c r="K623">
        <v>392293.44</v>
      </c>
    </row>
    <row r="624" spans="1:11" x14ac:dyDescent="0.35">
      <c r="A624" t="s">
        <v>618</v>
      </c>
      <c r="B624" t="s">
        <v>976</v>
      </c>
      <c r="C624" t="s">
        <v>17</v>
      </c>
      <c r="D624" s="1">
        <v>44544</v>
      </c>
      <c r="E624">
        <v>417172610</v>
      </c>
      <c r="F624" s="1">
        <v>44549</v>
      </c>
      <c r="G624">
        <v>9501</v>
      </c>
      <c r="H624">
        <v>255.28</v>
      </c>
      <c r="I624">
        <v>159.41999999999999</v>
      </c>
      <c r="J624">
        <v>2425415.2799999998</v>
      </c>
      <c r="K624">
        <v>1514649.42</v>
      </c>
    </row>
    <row r="625" spans="1:11" x14ac:dyDescent="0.35">
      <c r="A625" t="s">
        <v>619</v>
      </c>
      <c r="B625" t="s">
        <v>980</v>
      </c>
      <c r="C625" t="s">
        <v>12</v>
      </c>
      <c r="D625" s="1">
        <v>44139</v>
      </c>
      <c r="E625">
        <v>489209020</v>
      </c>
      <c r="F625" s="1">
        <v>44170</v>
      </c>
      <c r="G625">
        <v>6675</v>
      </c>
      <c r="H625">
        <v>437.2</v>
      </c>
      <c r="I625">
        <v>263.33</v>
      </c>
      <c r="J625">
        <v>2918310</v>
      </c>
      <c r="K625">
        <v>1757727.75</v>
      </c>
    </row>
    <row r="626" spans="1:11" x14ac:dyDescent="0.35">
      <c r="A626" t="s">
        <v>620</v>
      </c>
      <c r="B626" t="s">
        <v>990</v>
      </c>
      <c r="C626" t="s">
        <v>17</v>
      </c>
      <c r="D626" s="1">
        <v>44341</v>
      </c>
      <c r="E626">
        <v>131419074</v>
      </c>
      <c r="F626" s="1">
        <v>44380</v>
      </c>
      <c r="G626">
        <v>8679</v>
      </c>
      <c r="H626">
        <v>668.27</v>
      </c>
      <c r="I626">
        <v>502.54</v>
      </c>
      <c r="J626">
        <v>5799915.3300000001</v>
      </c>
      <c r="K626">
        <v>4361544.66</v>
      </c>
    </row>
    <row r="627" spans="1:11" x14ac:dyDescent="0.35">
      <c r="A627" t="s">
        <v>621</v>
      </c>
      <c r="B627" t="s">
        <v>978</v>
      </c>
      <c r="C627" t="s">
        <v>12</v>
      </c>
      <c r="D627" s="1">
        <v>44568</v>
      </c>
      <c r="E627">
        <v>395414102</v>
      </c>
      <c r="F627" s="1">
        <v>44596</v>
      </c>
      <c r="G627">
        <v>674</v>
      </c>
      <c r="H627">
        <v>47.45</v>
      </c>
      <c r="I627">
        <v>31.79</v>
      </c>
      <c r="J627">
        <v>31981.300000000003</v>
      </c>
      <c r="K627">
        <v>21426.46</v>
      </c>
    </row>
    <row r="628" spans="1:11" x14ac:dyDescent="0.35">
      <c r="A628" t="s">
        <v>622</v>
      </c>
      <c r="B628" t="s">
        <v>972</v>
      </c>
      <c r="C628" t="s">
        <v>17</v>
      </c>
      <c r="D628" s="1">
        <v>43866</v>
      </c>
      <c r="E628">
        <v>603117930</v>
      </c>
      <c r="F628" s="1">
        <v>43902</v>
      </c>
      <c r="G628">
        <v>4853</v>
      </c>
      <c r="H628">
        <v>205.7</v>
      </c>
      <c r="I628">
        <v>117.11</v>
      </c>
      <c r="J628">
        <v>998262.1</v>
      </c>
      <c r="K628">
        <v>568334.82999999996</v>
      </c>
    </row>
    <row r="629" spans="1:11" x14ac:dyDescent="0.35">
      <c r="A629" t="s">
        <v>623</v>
      </c>
      <c r="B629" t="s">
        <v>974</v>
      </c>
      <c r="C629" t="s">
        <v>17</v>
      </c>
      <c r="D629" s="1">
        <v>44557</v>
      </c>
      <c r="E629">
        <v>596766889</v>
      </c>
      <c r="F629" s="1">
        <v>44572</v>
      </c>
      <c r="G629">
        <v>5439</v>
      </c>
      <c r="H629">
        <v>9.33</v>
      </c>
      <c r="I629">
        <v>6.92</v>
      </c>
      <c r="J629">
        <v>50745.87</v>
      </c>
      <c r="K629">
        <v>37637.879999999997</v>
      </c>
    </row>
    <row r="630" spans="1:11" x14ac:dyDescent="0.35">
      <c r="A630" t="s">
        <v>624</v>
      </c>
      <c r="B630" t="s">
        <v>982</v>
      </c>
      <c r="C630" t="s">
        <v>19</v>
      </c>
      <c r="D630" s="1">
        <v>44414</v>
      </c>
      <c r="E630">
        <v>288909804</v>
      </c>
      <c r="F630" s="1">
        <v>44418</v>
      </c>
      <c r="G630">
        <v>3686</v>
      </c>
      <c r="H630">
        <v>81.73</v>
      </c>
      <c r="I630">
        <v>56.67</v>
      </c>
      <c r="J630">
        <v>301256.78000000003</v>
      </c>
      <c r="K630">
        <v>208885.62</v>
      </c>
    </row>
    <row r="631" spans="1:11" x14ac:dyDescent="0.35">
      <c r="A631" t="s">
        <v>625</v>
      </c>
      <c r="B631" t="s">
        <v>972</v>
      </c>
      <c r="C631" t="s">
        <v>19</v>
      </c>
      <c r="D631" s="1">
        <v>44485</v>
      </c>
      <c r="E631">
        <v>112408006</v>
      </c>
      <c r="F631" s="1">
        <v>44492</v>
      </c>
      <c r="G631">
        <v>2882</v>
      </c>
      <c r="H631">
        <v>205.7</v>
      </c>
      <c r="I631">
        <v>117.11</v>
      </c>
      <c r="J631">
        <v>592827.4</v>
      </c>
      <c r="K631">
        <v>337511.02</v>
      </c>
    </row>
    <row r="632" spans="1:11" x14ac:dyDescent="0.35">
      <c r="A632" t="s">
        <v>626</v>
      </c>
      <c r="B632" t="s">
        <v>982</v>
      </c>
      <c r="C632" t="s">
        <v>12</v>
      </c>
      <c r="D632" s="1">
        <v>44404</v>
      </c>
      <c r="E632">
        <v>570435321</v>
      </c>
      <c r="F632" s="1">
        <v>44419</v>
      </c>
      <c r="G632">
        <v>3343</v>
      </c>
      <c r="H632">
        <v>81.73</v>
      </c>
      <c r="I632">
        <v>56.67</v>
      </c>
      <c r="J632">
        <v>273223.39</v>
      </c>
      <c r="K632">
        <v>189447.81</v>
      </c>
    </row>
    <row r="633" spans="1:11" x14ac:dyDescent="0.35">
      <c r="A633" t="s">
        <v>627</v>
      </c>
      <c r="B633" t="s">
        <v>976</v>
      </c>
      <c r="C633" t="s">
        <v>12</v>
      </c>
      <c r="D633" s="1">
        <v>43949</v>
      </c>
      <c r="E633">
        <v>886478078</v>
      </c>
      <c r="F633" s="1">
        <v>43980</v>
      </c>
      <c r="G633">
        <v>7418</v>
      </c>
      <c r="H633">
        <v>255.28</v>
      </c>
      <c r="I633">
        <v>159.41999999999999</v>
      </c>
      <c r="J633">
        <v>1893667.04</v>
      </c>
      <c r="K633">
        <v>1182577.5599999998</v>
      </c>
    </row>
    <row r="634" spans="1:11" x14ac:dyDescent="0.35">
      <c r="A634" t="s">
        <v>628</v>
      </c>
      <c r="B634" t="s">
        <v>972</v>
      </c>
      <c r="C634" t="s">
        <v>14</v>
      </c>
      <c r="D634" s="1">
        <v>44609</v>
      </c>
      <c r="E634">
        <v>354335105</v>
      </c>
      <c r="F634" s="1">
        <v>44658</v>
      </c>
      <c r="G634">
        <v>4487</v>
      </c>
      <c r="H634">
        <v>205.7</v>
      </c>
      <c r="I634">
        <v>117.11</v>
      </c>
      <c r="J634">
        <v>922975.89999999991</v>
      </c>
      <c r="K634">
        <v>525472.56999999995</v>
      </c>
    </row>
    <row r="635" spans="1:11" x14ac:dyDescent="0.35">
      <c r="A635" t="s">
        <v>629</v>
      </c>
      <c r="B635" t="s">
        <v>970</v>
      </c>
      <c r="C635" t="s">
        <v>12</v>
      </c>
      <c r="D635" s="1">
        <v>43848</v>
      </c>
      <c r="E635">
        <v>588117730</v>
      </c>
      <c r="F635" s="1">
        <v>43872</v>
      </c>
      <c r="G635">
        <v>5960</v>
      </c>
      <c r="H635">
        <v>421.89</v>
      </c>
      <c r="I635">
        <v>364.69</v>
      </c>
      <c r="J635">
        <v>2514464.4</v>
      </c>
      <c r="K635">
        <v>2173552.4</v>
      </c>
    </row>
    <row r="636" spans="1:11" x14ac:dyDescent="0.35">
      <c r="A636" t="s">
        <v>630</v>
      </c>
      <c r="B636" t="s">
        <v>978</v>
      </c>
      <c r="C636" t="s">
        <v>12</v>
      </c>
      <c r="D636" s="1">
        <v>43972</v>
      </c>
      <c r="E636">
        <v>572249782</v>
      </c>
      <c r="F636" s="1">
        <v>43972</v>
      </c>
      <c r="G636">
        <v>282</v>
      </c>
      <c r="H636">
        <v>47.45</v>
      </c>
      <c r="I636">
        <v>31.79</v>
      </c>
      <c r="J636">
        <v>13380.900000000001</v>
      </c>
      <c r="K636">
        <v>8964.7800000000007</v>
      </c>
    </row>
    <row r="637" spans="1:11" x14ac:dyDescent="0.35">
      <c r="A637" t="s">
        <v>631</v>
      </c>
      <c r="B637" t="s">
        <v>990</v>
      </c>
      <c r="C637" t="s">
        <v>17</v>
      </c>
      <c r="D637" s="1">
        <v>44302</v>
      </c>
      <c r="E637">
        <v>711467587</v>
      </c>
      <c r="F637" s="1">
        <v>44339</v>
      </c>
      <c r="G637">
        <v>7924</v>
      </c>
      <c r="H637">
        <v>668.27</v>
      </c>
      <c r="I637">
        <v>502.54</v>
      </c>
      <c r="J637">
        <v>5295371.4799999995</v>
      </c>
      <c r="K637">
        <v>3982126.96</v>
      </c>
    </row>
    <row r="638" spans="1:11" x14ac:dyDescent="0.35">
      <c r="A638" t="s">
        <v>632</v>
      </c>
      <c r="B638" t="s">
        <v>984</v>
      </c>
      <c r="C638" t="s">
        <v>12</v>
      </c>
      <c r="D638" s="1">
        <v>44830</v>
      </c>
      <c r="E638">
        <v>580819976</v>
      </c>
      <c r="F638" s="1">
        <v>44858</v>
      </c>
      <c r="G638">
        <v>6393</v>
      </c>
      <c r="H638">
        <v>651.21</v>
      </c>
      <c r="I638">
        <v>524.96</v>
      </c>
      <c r="J638">
        <v>4163185.5300000003</v>
      </c>
      <c r="K638">
        <v>3356069.2800000003</v>
      </c>
    </row>
    <row r="639" spans="1:11" x14ac:dyDescent="0.35">
      <c r="A639" t="s">
        <v>633</v>
      </c>
      <c r="B639" t="s">
        <v>984</v>
      </c>
      <c r="C639" t="s">
        <v>19</v>
      </c>
      <c r="D639" s="1">
        <v>44647</v>
      </c>
      <c r="E639">
        <v>275668275</v>
      </c>
      <c r="F639" s="1">
        <v>44681</v>
      </c>
      <c r="G639">
        <v>5223</v>
      </c>
      <c r="H639">
        <v>651.21</v>
      </c>
      <c r="I639">
        <v>524.96</v>
      </c>
      <c r="J639">
        <v>3401269.83</v>
      </c>
      <c r="K639">
        <v>2741866.08</v>
      </c>
    </row>
    <row r="640" spans="1:11" x14ac:dyDescent="0.35">
      <c r="A640" t="s">
        <v>634</v>
      </c>
      <c r="B640" t="s">
        <v>972</v>
      </c>
      <c r="C640" t="s">
        <v>14</v>
      </c>
      <c r="D640" s="1">
        <v>44560</v>
      </c>
      <c r="E640">
        <v>861686313</v>
      </c>
      <c r="F640" s="1">
        <v>44560</v>
      </c>
      <c r="G640">
        <v>983</v>
      </c>
      <c r="H640">
        <v>205.7</v>
      </c>
      <c r="I640">
        <v>117.11</v>
      </c>
      <c r="J640">
        <v>202203.09999999998</v>
      </c>
      <c r="K640">
        <v>115119.13</v>
      </c>
    </row>
    <row r="641" spans="1:11" x14ac:dyDescent="0.35">
      <c r="A641" t="s">
        <v>635</v>
      </c>
      <c r="B641" t="s">
        <v>970</v>
      </c>
      <c r="C641" t="s">
        <v>12</v>
      </c>
      <c r="D641" s="1">
        <v>44477</v>
      </c>
      <c r="E641">
        <v>324860417</v>
      </c>
      <c r="F641" s="1">
        <v>44518</v>
      </c>
      <c r="G641">
        <v>2271</v>
      </c>
      <c r="H641">
        <v>421.89</v>
      </c>
      <c r="I641">
        <v>364.69</v>
      </c>
      <c r="J641">
        <v>958112.19</v>
      </c>
      <c r="K641">
        <v>828210.99</v>
      </c>
    </row>
    <row r="642" spans="1:11" x14ac:dyDescent="0.35">
      <c r="A642" t="s">
        <v>636</v>
      </c>
      <c r="B642" t="s">
        <v>968</v>
      </c>
      <c r="C642" t="s">
        <v>12</v>
      </c>
      <c r="D642" s="1">
        <v>43933</v>
      </c>
      <c r="E642">
        <v>321489417</v>
      </c>
      <c r="F642" s="1">
        <v>43934</v>
      </c>
      <c r="G642">
        <v>4718</v>
      </c>
      <c r="H642">
        <v>152.58000000000001</v>
      </c>
      <c r="I642">
        <v>97.44</v>
      </c>
      <c r="J642">
        <v>719872.44000000006</v>
      </c>
      <c r="K642">
        <v>459721.92</v>
      </c>
    </row>
    <row r="643" spans="1:11" x14ac:dyDescent="0.35">
      <c r="A643" t="s">
        <v>637</v>
      </c>
      <c r="B643" t="s">
        <v>980</v>
      </c>
      <c r="C643" t="s">
        <v>17</v>
      </c>
      <c r="D643" s="1">
        <v>44695</v>
      </c>
      <c r="E643">
        <v>328184640</v>
      </c>
      <c r="F643" s="1">
        <v>44741</v>
      </c>
      <c r="G643">
        <v>5983</v>
      </c>
      <c r="H643">
        <v>437.2</v>
      </c>
      <c r="I643">
        <v>263.33</v>
      </c>
      <c r="J643">
        <v>2615767.6</v>
      </c>
      <c r="K643">
        <v>1575503.39</v>
      </c>
    </row>
    <row r="644" spans="1:11" x14ac:dyDescent="0.35">
      <c r="A644" t="s">
        <v>638</v>
      </c>
      <c r="B644" t="s">
        <v>984</v>
      </c>
      <c r="C644" t="s">
        <v>17</v>
      </c>
      <c r="D644" s="1">
        <v>43981</v>
      </c>
      <c r="E644">
        <v>791869914</v>
      </c>
      <c r="F644" s="1">
        <v>44004</v>
      </c>
      <c r="G644">
        <v>760</v>
      </c>
      <c r="H644">
        <v>651.21</v>
      </c>
      <c r="I644">
        <v>524.96</v>
      </c>
      <c r="J644">
        <v>494919.60000000003</v>
      </c>
      <c r="K644">
        <v>398969.60000000003</v>
      </c>
    </row>
    <row r="645" spans="1:11" x14ac:dyDescent="0.35">
      <c r="A645" t="s">
        <v>639</v>
      </c>
      <c r="B645" t="s">
        <v>982</v>
      </c>
      <c r="C645" t="s">
        <v>19</v>
      </c>
      <c r="D645" s="1">
        <v>44375</v>
      </c>
      <c r="E645">
        <v>879781568</v>
      </c>
      <c r="F645" s="1">
        <v>44425</v>
      </c>
      <c r="G645">
        <v>5771</v>
      </c>
      <c r="H645">
        <v>81.73</v>
      </c>
      <c r="I645">
        <v>56.67</v>
      </c>
      <c r="J645">
        <v>471663.83</v>
      </c>
      <c r="K645">
        <v>327042.57</v>
      </c>
    </row>
    <row r="646" spans="1:11" x14ac:dyDescent="0.35">
      <c r="A646" t="s">
        <v>640</v>
      </c>
      <c r="B646" t="s">
        <v>970</v>
      </c>
      <c r="C646" t="s">
        <v>12</v>
      </c>
      <c r="D646" s="1">
        <v>43909</v>
      </c>
      <c r="E646">
        <v>729468429</v>
      </c>
      <c r="F646" s="1">
        <v>43934</v>
      </c>
      <c r="G646">
        <v>4773</v>
      </c>
      <c r="H646">
        <v>421.89</v>
      </c>
      <c r="I646">
        <v>364.69</v>
      </c>
      <c r="J646">
        <v>2013680.97</v>
      </c>
      <c r="K646">
        <v>1740665.3699999999</v>
      </c>
    </row>
    <row r="647" spans="1:11" x14ac:dyDescent="0.35">
      <c r="A647" t="s">
        <v>641</v>
      </c>
      <c r="B647" t="s">
        <v>988</v>
      </c>
      <c r="C647" t="s">
        <v>14</v>
      </c>
      <c r="D647" s="1">
        <v>43895</v>
      </c>
      <c r="E647">
        <v>998791825</v>
      </c>
      <c r="F647" s="1">
        <v>43911</v>
      </c>
      <c r="G647">
        <v>3551</v>
      </c>
      <c r="H647">
        <v>109.28</v>
      </c>
      <c r="I647">
        <v>35.840000000000003</v>
      </c>
      <c r="J647">
        <v>388053.28</v>
      </c>
      <c r="K647">
        <v>127267.84000000001</v>
      </c>
    </row>
    <row r="648" spans="1:11" x14ac:dyDescent="0.35">
      <c r="A648" t="s">
        <v>642</v>
      </c>
      <c r="B648" t="s">
        <v>980</v>
      </c>
      <c r="C648" t="s">
        <v>14</v>
      </c>
      <c r="D648" s="1">
        <v>44226</v>
      </c>
      <c r="E648">
        <v>615925586</v>
      </c>
      <c r="F648" s="1">
        <v>44252</v>
      </c>
      <c r="G648">
        <v>4923</v>
      </c>
      <c r="H648">
        <v>437.2</v>
      </c>
      <c r="I648">
        <v>263.33</v>
      </c>
      <c r="J648">
        <v>2152335.6</v>
      </c>
      <c r="K648">
        <v>1296373.5899999999</v>
      </c>
    </row>
    <row r="649" spans="1:11" x14ac:dyDescent="0.35">
      <c r="A649" t="s">
        <v>643</v>
      </c>
      <c r="B649" t="s">
        <v>974</v>
      </c>
      <c r="C649" t="s">
        <v>17</v>
      </c>
      <c r="D649" s="1">
        <v>43897</v>
      </c>
      <c r="E649">
        <v>829356038</v>
      </c>
      <c r="F649" s="1">
        <v>43919</v>
      </c>
      <c r="G649">
        <v>3737</v>
      </c>
      <c r="H649">
        <v>9.33</v>
      </c>
      <c r="I649">
        <v>6.92</v>
      </c>
      <c r="J649">
        <v>34866.21</v>
      </c>
      <c r="K649">
        <v>25860.04</v>
      </c>
    </row>
    <row r="650" spans="1:11" x14ac:dyDescent="0.35">
      <c r="A650" t="s">
        <v>644</v>
      </c>
      <c r="B650" t="s">
        <v>982</v>
      </c>
      <c r="C650" t="s">
        <v>14</v>
      </c>
      <c r="D650" s="1">
        <v>44660</v>
      </c>
      <c r="E650">
        <v>257882010</v>
      </c>
      <c r="F650" s="1">
        <v>44668</v>
      </c>
      <c r="G650">
        <v>1872</v>
      </c>
      <c r="H650">
        <v>81.73</v>
      </c>
      <c r="I650">
        <v>56.67</v>
      </c>
      <c r="J650">
        <v>152998.56</v>
      </c>
      <c r="K650">
        <v>106086.24</v>
      </c>
    </row>
    <row r="651" spans="1:11" x14ac:dyDescent="0.35">
      <c r="A651" t="s">
        <v>645</v>
      </c>
      <c r="B651" t="s">
        <v>970</v>
      </c>
      <c r="C651" t="s">
        <v>17</v>
      </c>
      <c r="D651" s="1">
        <v>44238</v>
      </c>
      <c r="E651">
        <v>740614831</v>
      </c>
      <c r="F651" s="1">
        <v>44242</v>
      </c>
      <c r="G651">
        <v>3241</v>
      </c>
      <c r="H651">
        <v>421.89</v>
      </c>
      <c r="I651">
        <v>364.69</v>
      </c>
      <c r="J651">
        <v>1367345.49</v>
      </c>
      <c r="K651">
        <v>1181960.29</v>
      </c>
    </row>
    <row r="652" spans="1:11" x14ac:dyDescent="0.35">
      <c r="A652" t="s">
        <v>646</v>
      </c>
      <c r="B652" t="s">
        <v>970</v>
      </c>
      <c r="C652" t="s">
        <v>12</v>
      </c>
      <c r="D652" s="1">
        <v>44154</v>
      </c>
      <c r="E652">
        <v>586978328</v>
      </c>
      <c r="F652" s="1">
        <v>44171</v>
      </c>
      <c r="G652">
        <v>8786</v>
      </c>
      <c r="H652">
        <v>421.89</v>
      </c>
      <c r="I652">
        <v>364.69</v>
      </c>
      <c r="J652">
        <v>3706725.54</v>
      </c>
      <c r="K652">
        <v>3204166.34</v>
      </c>
    </row>
    <row r="653" spans="1:11" x14ac:dyDescent="0.35">
      <c r="A653" t="s">
        <v>647</v>
      </c>
      <c r="B653" t="s">
        <v>990</v>
      </c>
      <c r="C653" t="s">
        <v>19</v>
      </c>
      <c r="D653" s="1">
        <v>43991</v>
      </c>
      <c r="E653">
        <v>426708829</v>
      </c>
      <c r="F653" s="1">
        <v>44007</v>
      </c>
      <c r="G653">
        <v>1480</v>
      </c>
      <c r="H653">
        <v>668.27</v>
      </c>
      <c r="I653">
        <v>502.54</v>
      </c>
      <c r="J653">
        <v>989039.6</v>
      </c>
      <c r="K653">
        <v>743759.20000000007</v>
      </c>
    </row>
    <row r="654" spans="1:11" x14ac:dyDescent="0.35">
      <c r="A654" t="s">
        <v>648</v>
      </c>
      <c r="B654" t="s">
        <v>984</v>
      </c>
      <c r="C654" t="s">
        <v>17</v>
      </c>
      <c r="D654" s="1">
        <v>44001</v>
      </c>
      <c r="E654">
        <v>959855163</v>
      </c>
      <c r="F654" s="1">
        <v>44010</v>
      </c>
      <c r="G654">
        <v>1328</v>
      </c>
      <c r="H654">
        <v>651.21</v>
      </c>
      <c r="I654">
        <v>524.96</v>
      </c>
      <c r="J654">
        <v>864806.88</v>
      </c>
      <c r="K654">
        <v>697146.88</v>
      </c>
    </row>
    <row r="655" spans="1:11" x14ac:dyDescent="0.35">
      <c r="A655" t="s">
        <v>429</v>
      </c>
      <c r="B655" t="s">
        <v>990</v>
      </c>
      <c r="C655" t="s">
        <v>14</v>
      </c>
      <c r="D655" s="1">
        <v>44581</v>
      </c>
      <c r="E655">
        <v>706778657</v>
      </c>
      <c r="F655" s="1">
        <v>44599</v>
      </c>
      <c r="G655">
        <v>366</v>
      </c>
      <c r="H655">
        <v>668.27</v>
      </c>
      <c r="I655">
        <v>502.54</v>
      </c>
      <c r="J655">
        <v>244586.82</v>
      </c>
      <c r="K655">
        <v>183929.64</v>
      </c>
    </row>
    <row r="656" spans="1:11" x14ac:dyDescent="0.35">
      <c r="A656" t="s">
        <v>649</v>
      </c>
      <c r="B656" t="s">
        <v>990</v>
      </c>
      <c r="C656" t="s">
        <v>12</v>
      </c>
      <c r="D656" s="1">
        <v>44710</v>
      </c>
      <c r="E656">
        <v>958153140</v>
      </c>
      <c r="F656" s="1">
        <v>44713</v>
      </c>
      <c r="G656">
        <v>7661</v>
      </c>
      <c r="H656">
        <v>668.27</v>
      </c>
      <c r="I656">
        <v>502.54</v>
      </c>
      <c r="J656">
        <v>5119616.47</v>
      </c>
      <c r="K656">
        <v>3849958.94</v>
      </c>
    </row>
    <row r="657" spans="1:11" x14ac:dyDescent="0.35">
      <c r="A657" t="s">
        <v>650</v>
      </c>
      <c r="B657" t="s">
        <v>980</v>
      </c>
      <c r="C657" t="s">
        <v>12</v>
      </c>
      <c r="D657" s="1">
        <v>44558</v>
      </c>
      <c r="E657">
        <v>824964940</v>
      </c>
      <c r="F657" s="1">
        <v>44597</v>
      </c>
      <c r="G657">
        <v>4313</v>
      </c>
      <c r="H657">
        <v>437.2</v>
      </c>
      <c r="I657">
        <v>263.33</v>
      </c>
      <c r="J657">
        <v>1885643.5999999999</v>
      </c>
      <c r="K657">
        <v>1135742.29</v>
      </c>
    </row>
    <row r="658" spans="1:11" x14ac:dyDescent="0.35">
      <c r="A658" t="s">
        <v>651</v>
      </c>
      <c r="B658" t="s">
        <v>980</v>
      </c>
      <c r="C658" t="s">
        <v>14</v>
      </c>
      <c r="D658" s="1">
        <v>43920</v>
      </c>
      <c r="E658">
        <v>388512885</v>
      </c>
      <c r="F658" s="1">
        <v>43954</v>
      </c>
      <c r="G658">
        <v>8451</v>
      </c>
      <c r="H658">
        <v>437.2</v>
      </c>
      <c r="I658">
        <v>263.33</v>
      </c>
      <c r="J658">
        <v>3694777.1999999997</v>
      </c>
      <c r="K658">
        <v>2225401.83</v>
      </c>
    </row>
    <row r="659" spans="1:11" x14ac:dyDescent="0.35">
      <c r="A659" t="s">
        <v>652</v>
      </c>
      <c r="B659" t="s">
        <v>984</v>
      </c>
      <c r="C659" t="s">
        <v>12</v>
      </c>
      <c r="D659" s="1">
        <v>44826</v>
      </c>
      <c r="E659">
        <v>250408303</v>
      </c>
      <c r="F659" s="1">
        <v>44841</v>
      </c>
      <c r="G659">
        <v>236</v>
      </c>
      <c r="H659">
        <v>651.21</v>
      </c>
      <c r="I659">
        <v>524.96</v>
      </c>
      <c r="J659">
        <v>153685.56</v>
      </c>
      <c r="K659">
        <v>123890.56000000001</v>
      </c>
    </row>
    <row r="660" spans="1:11" x14ac:dyDescent="0.35">
      <c r="A660" t="s">
        <v>653</v>
      </c>
      <c r="B660" t="s">
        <v>968</v>
      </c>
      <c r="C660" t="s">
        <v>12</v>
      </c>
      <c r="D660" s="1">
        <v>44752</v>
      </c>
      <c r="E660">
        <v>182575023</v>
      </c>
      <c r="F660" s="1">
        <v>44797</v>
      </c>
      <c r="G660">
        <v>6861</v>
      </c>
      <c r="H660">
        <v>152.58000000000001</v>
      </c>
      <c r="I660">
        <v>97.44</v>
      </c>
      <c r="J660">
        <v>1046851.3800000001</v>
      </c>
      <c r="K660">
        <v>668535.84</v>
      </c>
    </row>
    <row r="661" spans="1:11" x14ac:dyDescent="0.35">
      <c r="A661" t="s">
        <v>654</v>
      </c>
      <c r="B661" t="s">
        <v>988</v>
      </c>
      <c r="C661" t="s">
        <v>12</v>
      </c>
      <c r="D661" s="1">
        <v>44457</v>
      </c>
      <c r="E661">
        <v>477249372</v>
      </c>
      <c r="F661" s="1">
        <v>44506</v>
      </c>
      <c r="G661">
        <v>7549</v>
      </c>
      <c r="H661">
        <v>109.28</v>
      </c>
      <c r="I661">
        <v>35.840000000000003</v>
      </c>
      <c r="J661">
        <v>824954.72</v>
      </c>
      <c r="K661">
        <v>270556.16000000003</v>
      </c>
    </row>
    <row r="662" spans="1:11" x14ac:dyDescent="0.35">
      <c r="A662" t="s">
        <v>655</v>
      </c>
      <c r="B662" t="s">
        <v>972</v>
      </c>
      <c r="C662" t="s">
        <v>14</v>
      </c>
      <c r="D662" s="1">
        <v>44322</v>
      </c>
      <c r="E662">
        <v>596980178</v>
      </c>
      <c r="F662" s="1">
        <v>44364</v>
      </c>
      <c r="G662">
        <v>8556</v>
      </c>
      <c r="H662">
        <v>205.7</v>
      </c>
      <c r="I662">
        <v>117.11</v>
      </c>
      <c r="J662">
        <v>1759969.2</v>
      </c>
      <c r="K662">
        <v>1001993.16</v>
      </c>
    </row>
    <row r="663" spans="1:11" x14ac:dyDescent="0.35">
      <c r="A663" t="s">
        <v>603</v>
      </c>
      <c r="B663" t="s">
        <v>976</v>
      </c>
      <c r="C663" t="s">
        <v>17</v>
      </c>
      <c r="D663" s="1">
        <v>43831</v>
      </c>
      <c r="E663">
        <v>524628770</v>
      </c>
      <c r="F663" s="1">
        <v>43833</v>
      </c>
      <c r="G663">
        <v>8166</v>
      </c>
      <c r="H663">
        <v>255.28</v>
      </c>
      <c r="I663">
        <v>159.41999999999999</v>
      </c>
      <c r="J663">
        <v>2084616.48</v>
      </c>
      <c r="K663">
        <v>1301823.72</v>
      </c>
    </row>
    <row r="664" spans="1:11" x14ac:dyDescent="0.35">
      <c r="A664" t="s">
        <v>656</v>
      </c>
      <c r="B664" t="s">
        <v>980</v>
      </c>
      <c r="C664" t="s">
        <v>19</v>
      </c>
      <c r="D664" s="1">
        <v>44183</v>
      </c>
      <c r="E664">
        <v>313368976</v>
      </c>
      <c r="F664" s="1">
        <v>44229</v>
      </c>
      <c r="G664">
        <v>1698</v>
      </c>
      <c r="H664">
        <v>437.2</v>
      </c>
      <c r="I664">
        <v>263.33</v>
      </c>
      <c r="J664">
        <v>742365.6</v>
      </c>
      <c r="K664">
        <v>447134.33999999997</v>
      </c>
    </row>
    <row r="665" spans="1:11" x14ac:dyDescent="0.35">
      <c r="A665" t="s">
        <v>657</v>
      </c>
      <c r="B665" t="s">
        <v>968</v>
      </c>
      <c r="C665" t="s">
        <v>19</v>
      </c>
      <c r="D665" s="1">
        <v>44633</v>
      </c>
      <c r="E665">
        <v>536687123</v>
      </c>
      <c r="F665" s="1">
        <v>44635</v>
      </c>
      <c r="G665">
        <v>6501</v>
      </c>
      <c r="H665">
        <v>152.58000000000001</v>
      </c>
      <c r="I665">
        <v>97.44</v>
      </c>
      <c r="J665">
        <v>991922.58000000007</v>
      </c>
      <c r="K665">
        <v>633457.43999999994</v>
      </c>
    </row>
    <row r="666" spans="1:11" x14ac:dyDescent="0.35">
      <c r="A666" t="s">
        <v>658</v>
      </c>
      <c r="B666" t="s">
        <v>974</v>
      </c>
      <c r="C666" t="s">
        <v>19</v>
      </c>
      <c r="D666" s="1">
        <v>44063</v>
      </c>
      <c r="E666">
        <v>938382041</v>
      </c>
      <c r="F666" s="1">
        <v>44103</v>
      </c>
      <c r="G666">
        <v>6954</v>
      </c>
      <c r="H666">
        <v>9.33</v>
      </c>
      <c r="I666">
        <v>6.92</v>
      </c>
      <c r="J666">
        <v>64880.82</v>
      </c>
      <c r="K666">
        <v>48121.68</v>
      </c>
    </row>
    <row r="667" spans="1:11" x14ac:dyDescent="0.35">
      <c r="A667" t="s">
        <v>659</v>
      </c>
      <c r="B667" t="s">
        <v>990</v>
      </c>
      <c r="C667" t="s">
        <v>17</v>
      </c>
      <c r="D667" s="1">
        <v>44632</v>
      </c>
      <c r="E667">
        <v>882565057</v>
      </c>
      <c r="F667" s="1">
        <v>44670</v>
      </c>
      <c r="G667">
        <v>9468</v>
      </c>
      <c r="H667">
        <v>668.27</v>
      </c>
      <c r="I667">
        <v>502.54</v>
      </c>
      <c r="J667">
        <v>6327180.3599999994</v>
      </c>
      <c r="K667">
        <v>4758048.72</v>
      </c>
    </row>
    <row r="668" spans="1:11" x14ac:dyDescent="0.35">
      <c r="A668" t="s">
        <v>660</v>
      </c>
      <c r="B668" t="s">
        <v>972</v>
      </c>
      <c r="C668" t="s">
        <v>14</v>
      </c>
      <c r="D668" s="1">
        <v>43948</v>
      </c>
      <c r="E668">
        <v>703659999</v>
      </c>
      <c r="F668" s="1">
        <v>43965</v>
      </c>
      <c r="G668">
        <v>7485</v>
      </c>
      <c r="H668">
        <v>205.7</v>
      </c>
      <c r="I668">
        <v>117.11</v>
      </c>
      <c r="J668">
        <v>1539664.5</v>
      </c>
      <c r="K668">
        <v>876568.35</v>
      </c>
    </row>
    <row r="669" spans="1:11" x14ac:dyDescent="0.35">
      <c r="A669" t="s">
        <v>661</v>
      </c>
      <c r="B669" t="s">
        <v>982</v>
      </c>
      <c r="C669" t="s">
        <v>12</v>
      </c>
      <c r="D669" s="1">
        <v>43945</v>
      </c>
      <c r="E669">
        <v>356403195</v>
      </c>
      <c r="F669" s="1">
        <v>43954</v>
      </c>
      <c r="G669">
        <v>6480</v>
      </c>
      <c r="H669">
        <v>81.73</v>
      </c>
      <c r="I669">
        <v>56.67</v>
      </c>
      <c r="J669">
        <v>529610.4</v>
      </c>
      <c r="K669">
        <v>367221.60000000003</v>
      </c>
    </row>
    <row r="670" spans="1:11" x14ac:dyDescent="0.35">
      <c r="A670" t="s">
        <v>662</v>
      </c>
      <c r="B670" t="s">
        <v>972</v>
      </c>
      <c r="C670" t="s">
        <v>12</v>
      </c>
      <c r="D670" s="1">
        <v>44089</v>
      </c>
      <c r="E670">
        <v>765843474</v>
      </c>
      <c r="F670" s="1">
        <v>44125</v>
      </c>
      <c r="G670">
        <v>8958</v>
      </c>
      <c r="H670">
        <v>205.7</v>
      </c>
      <c r="I670">
        <v>117.11</v>
      </c>
      <c r="J670">
        <v>1842660.5999999999</v>
      </c>
      <c r="K670">
        <v>1049071.3799999999</v>
      </c>
    </row>
    <row r="671" spans="1:11" x14ac:dyDescent="0.35">
      <c r="A671" t="s">
        <v>663</v>
      </c>
      <c r="B671" t="s">
        <v>970</v>
      </c>
      <c r="C671" t="s">
        <v>12</v>
      </c>
      <c r="D671" s="1">
        <v>43997</v>
      </c>
      <c r="E671">
        <v>677342164</v>
      </c>
      <c r="F671" s="1">
        <v>44027</v>
      </c>
      <c r="G671">
        <v>9453</v>
      </c>
      <c r="H671">
        <v>421.89</v>
      </c>
      <c r="I671">
        <v>364.69</v>
      </c>
      <c r="J671">
        <v>3988126.17</v>
      </c>
      <c r="K671">
        <v>3447414.57</v>
      </c>
    </row>
    <row r="672" spans="1:11" x14ac:dyDescent="0.35">
      <c r="A672" t="s">
        <v>664</v>
      </c>
      <c r="B672" t="s">
        <v>990</v>
      </c>
      <c r="C672" t="s">
        <v>19</v>
      </c>
      <c r="D672" s="1">
        <v>43951</v>
      </c>
      <c r="E672">
        <v>706573092</v>
      </c>
      <c r="F672" s="1">
        <v>43966</v>
      </c>
      <c r="G672">
        <v>9535</v>
      </c>
      <c r="H672">
        <v>668.27</v>
      </c>
      <c r="I672">
        <v>502.54</v>
      </c>
      <c r="J672">
        <v>6371954.4500000002</v>
      </c>
      <c r="K672">
        <v>4791718.9000000004</v>
      </c>
    </row>
    <row r="673" spans="1:11" x14ac:dyDescent="0.35">
      <c r="A673" t="s">
        <v>665</v>
      </c>
      <c r="B673" t="s">
        <v>972</v>
      </c>
      <c r="C673" t="s">
        <v>12</v>
      </c>
      <c r="D673" s="1">
        <v>44383</v>
      </c>
      <c r="E673">
        <v>189522588</v>
      </c>
      <c r="F673" s="1">
        <v>44409</v>
      </c>
      <c r="G673">
        <v>2800</v>
      </c>
      <c r="H673">
        <v>205.7</v>
      </c>
      <c r="I673">
        <v>117.11</v>
      </c>
      <c r="J673">
        <v>575960</v>
      </c>
      <c r="K673">
        <v>327908</v>
      </c>
    </row>
    <row r="674" spans="1:11" x14ac:dyDescent="0.35">
      <c r="A674" t="s">
        <v>266</v>
      </c>
      <c r="B674" t="s">
        <v>990</v>
      </c>
      <c r="C674" t="s">
        <v>12</v>
      </c>
      <c r="D674" s="1">
        <v>44304</v>
      </c>
      <c r="E674">
        <v>332489478</v>
      </c>
      <c r="F674" s="1">
        <v>44342</v>
      </c>
      <c r="G674">
        <v>9880</v>
      </c>
      <c r="H674">
        <v>668.27</v>
      </c>
      <c r="I674">
        <v>502.54</v>
      </c>
      <c r="J674">
        <v>6602507.5999999996</v>
      </c>
      <c r="K674">
        <v>4965095.2</v>
      </c>
    </row>
    <row r="675" spans="1:11" x14ac:dyDescent="0.35">
      <c r="A675" t="s">
        <v>666</v>
      </c>
      <c r="B675" t="s">
        <v>968</v>
      </c>
      <c r="C675" t="s">
        <v>19</v>
      </c>
      <c r="D675" s="1">
        <v>43916</v>
      </c>
      <c r="E675">
        <v>162085092</v>
      </c>
      <c r="F675" s="1">
        <v>43953</v>
      </c>
      <c r="G675">
        <v>3435</v>
      </c>
      <c r="H675">
        <v>152.58000000000001</v>
      </c>
      <c r="I675">
        <v>97.44</v>
      </c>
      <c r="J675">
        <v>524112.30000000005</v>
      </c>
      <c r="K675">
        <v>334706.39999999997</v>
      </c>
    </row>
    <row r="676" spans="1:11" x14ac:dyDescent="0.35">
      <c r="A676" t="s">
        <v>667</v>
      </c>
      <c r="B676" t="s">
        <v>972</v>
      </c>
      <c r="C676" t="s">
        <v>12</v>
      </c>
      <c r="D676" s="1">
        <v>44092</v>
      </c>
      <c r="E676">
        <v>575233256</v>
      </c>
      <c r="F676" s="1">
        <v>44140</v>
      </c>
      <c r="G676">
        <v>3158</v>
      </c>
      <c r="H676">
        <v>205.7</v>
      </c>
      <c r="I676">
        <v>117.11</v>
      </c>
      <c r="J676">
        <v>649600.6</v>
      </c>
      <c r="K676">
        <v>369833.38</v>
      </c>
    </row>
    <row r="677" spans="1:11" x14ac:dyDescent="0.35">
      <c r="A677" t="s">
        <v>668</v>
      </c>
      <c r="B677" t="s">
        <v>988</v>
      </c>
      <c r="C677" t="s">
        <v>17</v>
      </c>
      <c r="D677" s="1">
        <v>44804</v>
      </c>
      <c r="E677">
        <v>289170300</v>
      </c>
      <c r="F677" s="1">
        <v>44815</v>
      </c>
      <c r="G677">
        <v>773</v>
      </c>
      <c r="H677">
        <v>109.28</v>
      </c>
      <c r="I677">
        <v>35.840000000000003</v>
      </c>
      <c r="J677">
        <v>84473.44</v>
      </c>
      <c r="K677">
        <v>27704.320000000003</v>
      </c>
    </row>
    <row r="678" spans="1:11" x14ac:dyDescent="0.35">
      <c r="A678" t="s">
        <v>669</v>
      </c>
      <c r="B678" t="s">
        <v>986</v>
      </c>
      <c r="C678" t="s">
        <v>14</v>
      </c>
      <c r="D678" s="1">
        <v>44608</v>
      </c>
      <c r="E678">
        <v>791445052</v>
      </c>
      <c r="F678" s="1">
        <v>44611</v>
      </c>
      <c r="G678">
        <v>5033</v>
      </c>
      <c r="H678">
        <v>154.06</v>
      </c>
      <c r="I678">
        <v>90.93</v>
      </c>
      <c r="J678">
        <v>775383.98</v>
      </c>
      <c r="K678">
        <v>457650.69000000006</v>
      </c>
    </row>
    <row r="679" spans="1:11" x14ac:dyDescent="0.35">
      <c r="A679" t="s">
        <v>205</v>
      </c>
      <c r="B679" t="s">
        <v>968</v>
      </c>
      <c r="C679" t="s">
        <v>14</v>
      </c>
      <c r="D679" s="1">
        <v>44293</v>
      </c>
      <c r="E679">
        <v>489918839</v>
      </c>
      <c r="F679" s="1">
        <v>44307</v>
      </c>
      <c r="G679">
        <v>6727</v>
      </c>
      <c r="H679">
        <v>152.58000000000001</v>
      </c>
      <c r="I679">
        <v>97.44</v>
      </c>
      <c r="J679">
        <v>1026405.66</v>
      </c>
      <c r="K679">
        <v>655478.88</v>
      </c>
    </row>
    <row r="680" spans="1:11" x14ac:dyDescent="0.35">
      <c r="A680" t="s">
        <v>670</v>
      </c>
      <c r="B680" t="s">
        <v>990</v>
      </c>
      <c r="C680" t="s">
        <v>17</v>
      </c>
      <c r="D680" s="1">
        <v>44274</v>
      </c>
      <c r="E680">
        <v>562765491</v>
      </c>
      <c r="F680" s="1">
        <v>44297</v>
      </c>
      <c r="G680">
        <v>3669</v>
      </c>
      <c r="H680">
        <v>668.27</v>
      </c>
      <c r="I680">
        <v>502.54</v>
      </c>
      <c r="J680">
        <v>2451882.63</v>
      </c>
      <c r="K680">
        <v>1843819.26</v>
      </c>
    </row>
    <row r="681" spans="1:11" x14ac:dyDescent="0.35">
      <c r="A681" t="s">
        <v>671</v>
      </c>
      <c r="B681" t="s">
        <v>988</v>
      </c>
      <c r="C681" t="s">
        <v>19</v>
      </c>
      <c r="D681" s="1">
        <v>44068</v>
      </c>
      <c r="E681">
        <v>908471333</v>
      </c>
      <c r="F681" s="1">
        <v>44090</v>
      </c>
      <c r="G681">
        <v>5711</v>
      </c>
      <c r="H681">
        <v>109.28</v>
      </c>
      <c r="I681">
        <v>35.840000000000003</v>
      </c>
      <c r="J681">
        <v>624098.07999999996</v>
      </c>
      <c r="K681">
        <v>204682.24000000002</v>
      </c>
    </row>
    <row r="682" spans="1:11" x14ac:dyDescent="0.35">
      <c r="A682" t="s">
        <v>672</v>
      </c>
      <c r="B682" t="s">
        <v>980</v>
      </c>
      <c r="C682" t="s">
        <v>12</v>
      </c>
      <c r="D682" s="1">
        <v>43861</v>
      </c>
      <c r="E682">
        <v>595835196</v>
      </c>
      <c r="F682" s="1">
        <v>43902</v>
      </c>
      <c r="G682">
        <v>9730</v>
      </c>
      <c r="H682">
        <v>437.2</v>
      </c>
      <c r="I682">
        <v>263.33</v>
      </c>
      <c r="J682">
        <v>4253956</v>
      </c>
      <c r="K682">
        <v>2562200.9</v>
      </c>
    </row>
    <row r="683" spans="1:11" x14ac:dyDescent="0.35">
      <c r="A683" t="s">
        <v>673</v>
      </c>
      <c r="B683" t="s">
        <v>968</v>
      </c>
      <c r="C683" t="s">
        <v>14</v>
      </c>
      <c r="D683" s="1">
        <v>43985</v>
      </c>
      <c r="E683">
        <v>113968408</v>
      </c>
      <c r="F683" s="1">
        <v>44008</v>
      </c>
      <c r="G683">
        <v>4639</v>
      </c>
      <c r="H683">
        <v>152.58000000000001</v>
      </c>
      <c r="I683">
        <v>97.44</v>
      </c>
      <c r="J683">
        <v>707818.62000000011</v>
      </c>
      <c r="K683">
        <v>452024.16</v>
      </c>
    </row>
    <row r="684" spans="1:11" x14ac:dyDescent="0.35">
      <c r="A684" t="s">
        <v>674</v>
      </c>
      <c r="B684" t="s">
        <v>982</v>
      </c>
      <c r="C684" t="s">
        <v>12</v>
      </c>
      <c r="D684" s="1">
        <v>44400</v>
      </c>
      <c r="E684">
        <v>922294795</v>
      </c>
      <c r="F684" s="1">
        <v>44450</v>
      </c>
      <c r="G684">
        <v>6380</v>
      </c>
      <c r="H684">
        <v>81.73</v>
      </c>
      <c r="I684">
        <v>56.67</v>
      </c>
      <c r="J684">
        <v>521437.4</v>
      </c>
      <c r="K684">
        <v>361554.60000000003</v>
      </c>
    </row>
    <row r="685" spans="1:11" x14ac:dyDescent="0.35">
      <c r="A685" t="s">
        <v>675</v>
      </c>
      <c r="B685" t="s">
        <v>974</v>
      </c>
      <c r="C685" t="s">
        <v>12</v>
      </c>
      <c r="D685" s="1">
        <v>44164</v>
      </c>
      <c r="E685">
        <v>500550687</v>
      </c>
      <c r="F685" s="1">
        <v>44181</v>
      </c>
      <c r="G685">
        <v>2926</v>
      </c>
      <c r="H685">
        <v>9.33</v>
      </c>
      <c r="I685">
        <v>6.92</v>
      </c>
      <c r="J685">
        <v>27299.58</v>
      </c>
      <c r="K685">
        <v>20247.919999999998</v>
      </c>
    </row>
    <row r="686" spans="1:11" x14ac:dyDescent="0.35">
      <c r="A686" t="s">
        <v>676</v>
      </c>
      <c r="B686" t="s">
        <v>970</v>
      </c>
      <c r="C686" t="s">
        <v>14</v>
      </c>
      <c r="D686" s="1">
        <v>44051</v>
      </c>
      <c r="E686">
        <v>898784911</v>
      </c>
      <c r="F686" s="1">
        <v>44058</v>
      </c>
      <c r="G686">
        <v>9283</v>
      </c>
      <c r="H686">
        <v>421.89</v>
      </c>
      <c r="I686">
        <v>364.69</v>
      </c>
      <c r="J686">
        <v>3916404.8699999996</v>
      </c>
      <c r="K686">
        <v>3385417.27</v>
      </c>
    </row>
    <row r="687" spans="1:11" x14ac:dyDescent="0.35">
      <c r="A687" t="s">
        <v>677</v>
      </c>
      <c r="B687" t="s">
        <v>968</v>
      </c>
      <c r="C687" t="s">
        <v>19</v>
      </c>
      <c r="D687" s="1">
        <v>43939</v>
      </c>
      <c r="E687">
        <v>187358796</v>
      </c>
      <c r="F687" s="1">
        <v>43957</v>
      </c>
      <c r="G687">
        <v>2486</v>
      </c>
      <c r="H687">
        <v>152.58000000000001</v>
      </c>
      <c r="I687">
        <v>97.44</v>
      </c>
      <c r="J687">
        <v>379313.88</v>
      </c>
      <c r="K687">
        <v>242235.84</v>
      </c>
    </row>
    <row r="688" spans="1:11" x14ac:dyDescent="0.35">
      <c r="A688" t="s">
        <v>678</v>
      </c>
      <c r="B688" t="s">
        <v>972</v>
      </c>
      <c r="C688" t="s">
        <v>12</v>
      </c>
      <c r="D688" s="1">
        <v>44370</v>
      </c>
      <c r="E688">
        <v>106946170</v>
      </c>
      <c r="F688" s="1">
        <v>44404</v>
      </c>
      <c r="G688">
        <v>6603</v>
      </c>
      <c r="H688">
        <v>205.7</v>
      </c>
      <c r="I688">
        <v>117.11</v>
      </c>
      <c r="J688">
        <v>1358237.0999999999</v>
      </c>
      <c r="K688">
        <v>773277.33</v>
      </c>
    </row>
    <row r="689" spans="1:11" x14ac:dyDescent="0.35">
      <c r="A689" t="s">
        <v>679</v>
      </c>
      <c r="B689" t="s">
        <v>984</v>
      </c>
      <c r="C689" t="s">
        <v>14</v>
      </c>
      <c r="D689" s="1">
        <v>43950</v>
      </c>
      <c r="E689">
        <v>218533360</v>
      </c>
      <c r="F689" s="1">
        <v>43953</v>
      </c>
      <c r="G689">
        <v>7733</v>
      </c>
      <c r="H689">
        <v>651.21</v>
      </c>
      <c r="I689">
        <v>524.96</v>
      </c>
      <c r="J689">
        <v>5035806.9300000006</v>
      </c>
      <c r="K689">
        <v>4059515.68</v>
      </c>
    </row>
    <row r="690" spans="1:11" x14ac:dyDescent="0.35">
      <c r="A690" t="s">
        <v>680</v>
      </c>
      <c r="B690" t="s">
        <v>984</v>
      </c>
      <c r="C690" t="s">
        <v>17</v>
      </c>
      <c r="D690" s="1">
        <v>44039</v>
      </c>
      <c r="E690">
        <v>153419196</v>
      </c>
      <c r="F690" s="1">
        <v>44050</v>
      </c>
      <c r="G690">
        <v>9004</v>
      </c>
      <c r="H690">
        <v>651.21</v>
      </c>
      <c r="I690">
        <v>524.96</v>
      </c>
      <c r="J690">
        <v>5863494.8400000008</v>
      </c>
      <c r="K690">
        <v>4726739.8400000008</v>
      </c>
    </row>
    <row r="691" spans="1:11" x14ac:dyDescent="0.35">
      <c r="A691" t="s">
        <v>681</v>
      </c>
      <c r="B691" t="s">
        <v>974</v>
      </c>
      <c r="C691" t="s">
        <v>14</v>
      </c>
      <c r="D691" s="1">
        <v>44055</v>
      </c>
      <c r="E691">
        <v>963215005</v>
      </c>
      <c r="F691" s="1">
        <v>44064</v>
      </c>
      <c r="G691">
        <v>5580</v>
      </c>
      <c r="H691">
        <v>9.33</v>
      </c>
      <c r="I691">
        <v>6.92</v>
      </c>
      <c r="J691">
        <v>52061.4</v>
      </c>
      <c r="K691">
        <v>38613.599999999999</v>
      </c>
    </row>
    <row r="692" spans="1:11" x14ac:dyDescent="0.35">
      <c r="A692" t="s">
        <v>682</v>
      </c>
      <c r="B692" t="s">
        <v>986</v>
      </c>
      <c r="C692" t="s">
        <v>14</v>
      </c>
      <c r="D692" s="1">
        <v>44088</v>
      </c>
      <c r="E692">
        <v>169844615</v>
      </c>
      <c r="F692" s="1">
        <v>44123</v>
      </c>
      <c r="G692">
        <v>9651</v>
      </c>
      <c r="H692">
        <v>154.06</v>
      </c>
      <c r="I692">
        <v>90.93</v>
      </c>
      <c r="J692">
        <v>1486833.06</v>
      </c>
      <c r="K692">
        <v>877565.43</v>
      </c>
    </row>
    <row r="693" spans="1:11" x14ac:dyDescent="0.35">
      <c r="A693" t="s">
        <v>683</v>
      </c>
      <c r="B693" t="s">
        <v>982</v>
      </c>
      <c r="C693" t="s">
        <v>14</v>
      </c>
      <c r="D693" s="1">
        <v>44373</v>
      </c>
      <c r="E693">
        <v>315544354</v>
      </c>
      <c r="F693" s="1">
        <v>44412</v>
      </c>
      <c r="G693">
        <v>5441</v>
      </c>
      <c r="H693">
        <v>81.73</v>
      </c>
      <c r="I693">
        <v>56.67</v>
      </c>
      <c r="J693">
        <v>444692.93</v>
      </c>
      <c r="K693">
        <v>308341.47000000003</v>
      </c>
    </row>
    <row r="694" spans="1:11" x14ac:dyDescent="0.35">
      <c r="A694" t="s">
        <v>684</v>
      </c>
      <c r="B694" t="s">
        <v>986</v>
      </c>
      <c r="C694" t="s">
        <v>12</v>
      </c>
      <c r="D694" s="1">
        <v>44768</v>
      </c>
      <c r="E694">
        <v>412863051</v>
      </c>
      <c r="F694" s="1">
        <v>44778</v>
      </c>
      <c r="G694">
        <v>4206</v>
      </c>
      <c r="H694">
        <v>154.06</v>
      </c>
      <c r="I694">
        <v>90.93</v>
      </c>
      <c r="J694">
        <v>647976.36</v>
      </c>
      <c r="K694">
        <v>382451.58</v>
      </c>
    </row>
    <row r="695" spans="1:11" x14ac:dyDescent="0.35">
      <c r="A695" t="s">
        <v>685</v>
      </c>
      <c r="B695" t="s">
        <v>974</v>
      </c>
      <c r="C695" t="s">
        <v>14</v>
      </c>
      <c r="D695" s="1">
        <v>44237</v>
      </c>
      <c r="E695">
        <v>894662034</v>
      </c>
      <c r="F695" s="1">
        <v>44240</v>
      </c>
      <c r="G695">
        <v>9232</v>
      </c>
      <c r="H695">
        <v>9.33</v>
      </c>
      <c r="I695">
        <v>6.92</v>
      </c>
      <c r="J695">
        <v>86134.56</v>
      </c>
      <c r="K695">
        <v>63885.440000000002</v>
      </c>
    </row>
    <row r="696" spans="1:11" x14ac:dyDescent="0.35">
      <c r="A696" t="s">
        <v>686</v>
      </c>
      <c r="B696" t="s">
        <v>982</v>
      </c>
      <c r="C696" t="s">
        <v>12</v>
      </c>
      <c r="D696" s="1">
        <v>44500</v>
      </c>
      <c r="E696">
        <v>464115130</v>
      </c>
      <c r="F696" s="1">
        <v>44509</v>
      </c>
      <c r="G696">
        <v>836</v>
      </c>
      <c r="H696">
        <v>81.73</v>
      </c>
      <c r="I696">
        <v>56.67</v>
      </c>
      <c r="J696">
        <v>68326.28</v>
      </c>
      <c r="K696">
        <v>47376.12</v>
      </c>
    </row>
    <row r="697" spans="1:11" x14ac:dyDescent="0.35">
      <c r="A697" t="s">
        <v>687</v>
      </c>
      <c r="B697" t="s">
        <v>978</v>
      </c>
      <c r="C697" t="s">
        <v>19</v>
      </c>
      <c r="D697" s="1">
        <v>44290</v>
      </c>
      <c r="E697">
        <v>144708669</v>
      </c>
      <c r="F697" s="1">
        <v>44321</v>
      </c>
      <c r="G697">
        <v>1366</v>
      </c>
      <c r="H697">
        <v>47.45</v>
      </c>
      <c r="I697">
        <v>31.79</v>
      </c>
      <c r="J697">
        <v>64816.700000000004</v>
      </c>
      <c r="K697">
        <v>43425.14</v>
      </c>
    </row>
    <row r="698" spans="1:11" x14ac:dyDescent="0.35">
      <c r="A698" t="s">
        <v>688</v>
      </c>
      <c r="B698" t="s">
        <v>974</v>
      </c>
      <c r="C698" t="s">
        <v>17</v>
      </c>
      <c r="D698" s="1">
        <v>44054</v>
      </c>
      <c r="E698">
        <v>130241477</v>
      </c>
      <c r="F698" s="1">
        <v>44066</v>
      </c>
      <c r="G698">
        <v>202</v>
      </c>
      <c r="H698">
        <v>9.33</v>
      </c>
      <c r="I698">
        <v>6.92</v>
      </c>
      <c r="J698">
        <v>1884.66</v>
      </c>
      <c r="K698">
        <v>1397.84</v>
      </c>
    </row>
    <row r="699" spans="1:11" x14ac:dyDescent="0.35">
      <c r="A699" t="s">
        <v>689</v>
      </c>
      <c r="B699" t="s">
        <v>972</v>
      </c>
      <c r="C699" t="s">
        <v>12</v>
      </c>
      <c r="D699" s="1">
        <v>44387</v>
      </c>
      <c r="E699">
        <v>234824883</v>
      </c>
      <c r="F699" s="1">
        <v>44396</v>
      </c>
      <c r="G699">
        <v>8756</v>
      </c>
      <c r="H699">
        <v>205.7</v>
      </c>
      <c r="I699">
        <v>117.11</v>
      </c>
      <c r="J699">
        <v>1801109.2</v>
      </c>
      <c r="K699">
        <v>1025415.16</v>
      </c>
    </row>
    <row r="700" spans="1:11" x14ac:dyDescent="0.35">
      <c r="A700" t="s">
        <v>690</v>
      </c>
      <c r="B700" t="s">
        <v>972</v>
      </c>
      <c r="C700" t="s">
        <v>14</v>
      </c>
      <c r="D700" s="1">
        <v>44463</v>
      </c>
      <c r="E700">
        <v>342882716</v>
      </c>
      <c r="F700" s="1">
        <v>44478</v>
      </c>
      <c r="G700">
        <v>5470</v>
      </c>
      <c r="H700">
        <v>205.7</v>
      </c>
      <c r="I700">
        <v>117.11</v>
      </c>
      <c r="J700">
        <v>1125179</v>
      </c>
      <c r="K700">
        <v>640591.69999999995</v>
      </c>
    </row>
    <row r="701" spans="1:11" x14ac:dyDescent="0.35">
      <c r="A701" t="s">
        <v>691</v>
      </c>
      <c r="B701" t="s">
        <v>990</v>
      </c>
      <c r="C701" t="s">
        <v>19</v>
      </c>
      <c r="D701" s="1">
        <v>44648</v>
      </c>
      <c r="E701">
        <v>859151303</v>
      </c>
      <c r="F701" s="1">
        <v>44687</v>
      </c>
      <c r="G701">
        <v>818</v>
      </c>
      <c r="H701">
        <v>668.27</v>
      </c>
      <c r="I701">
        <v>502.54</v>
      </c>
      <c r="J701">
        <v>546644.86</v>
      </c>
      <c r="K701">
        <v>411077.72000000003</v>
      </c>
    </row>
    <row r="702" spans="1:11" x14ac:dyDescent="0.35">
      <c r="A702" t="s">
        <v>692</v>
      </c>
      <c r="B702" t="s">
        <v>970</v>
      </c>
      <c r="C702" t="s">
        <v>12</v>
      </c>
      <c r="D702" s="1">
        <v>43887</v>
      </c>
      <c r="E702">
        <v>458679473</v>
      </c>
      <c r="F702" s="1">
        <v>43912</v>
      </c>
      <c r="G702">
        <v>2304</v>
      </c>
      <c r="H702">
        <v>421.89</v>
      </c>
      <c r="I702">
        <v>364.69</v>
      </c>
      <c r="J702">
        <v>972034.55999999994</v>
      </c>
      <c r="K702">
        <v>840245.76000000001</v>
      </c>
    </row>
    <row r="703" spans="1:11" x14ac:dyDescent="0.35">
      <c r="A703" t="s">
        <v>693</v>
      </c>
      <c r="B703" t="s">
        <v>968</v>
      </c>
      <c r="C703" t="s">
        <v>12</v>
      </c>
      <c r="D703" s="1">
        <v>44407</v>
      </c>
      <c r="E703">
        <v>136828553</v>
      </c>
      <c r="F703" s="1">
        <v>44441</v>
      </c>
      <c r="G703">
        <v>9464</v>
      </c>
      <c r="H703">
        <v>152.58000000000001</v>
      </c>
      <c r="I703">
        <v>97.44</v>
      </c>
      <c r="J703">
        <v>1444017.12</v>
      </c>
      <c r="K703">
        <v>922172.16</v>
      </c>
    </row>
    <row r="704" spans="1:11" x14ac:dyDescent="0.35">
      <c r="A704" t="s">
        <v>694</v>
      </c>
      <c r="B704" t="s">
        <v>976</v>
      </c>
      <c r="C704" t="s">
        <v>14</v>
      </c>
      <c r="D704" s="1">
        <v>43880</v>
      </c>
      <c r="E704">
        <v>959272372</v>
      </c>
      <c r="F704" s="1">
        <v>43891</v>
      </c>
      <c r="G704">
        <v>8867</v>
      </c>
      <c r="H704">
        <v>255.28</v>
      </c>
      <c r="I704">
        <v>159.41999999999999</v>
      </c>
      <c r="J704">
        <v>2263567.7600000002</v>
      </c>
      <c r="K704">
        <v>1413577.14</v>
      </c>
    </row>
    <row r="705" spans="1:11" x14ac:dyDescent="0.35">
      <c r="A705" t="s">
        <v>695</v>
      </c>
      <c r="B705" t="s">
        <v>972</v>
      </c>
      <c r="C705" t="s">
        <v>19</v>
      </c>
      <c r="D705" s="1">
        <v>44304</v>
      </c>
      <c r="E705">
        <v>911997258</v>
      </c>
      <c r="F705" s="1">
        <v>44323</v>
      </c>
      <c r="G705">
        <v>9110</v>
      </c>
      <c r="H705">
        <v>205.7</v>
      </c>
      <c r="I705">
        <v>117.11</v>
      </c>
      <c r="J705">
        <v>1873927</v>
      </c>
      <c r="K705">
        <v>1066872.1000000001</v>
      </c>
    </row>
    <row r="706" spans="1:11" x14ac:dyDescent="0.35">
      <c r="A706" t="s">
        <v>696</v>
      </c>
      <c r="B706" t="s">
        <v>986</v>
      </c>
      <c r="C706" t="s">
        <v>12</v>
      </c>
      <c r="D706" s="1">
        <v>44169</v>
      </c>
      <c r="E706">
        <v>751302039</v>
      </c>
      <c r="F706" s="1">
        <v>44175</v>
      </c>
      <c r="G706">
        <v>5824</v>
      </c>
      <c r="H706">
        <v>154.06</v>
      </c>
      <c r="I706">
        <v>90.93</v>
      </c>
      <c r="J706">
        <v>897245.44000000006</v>
      </c>
      <c r="K706">
        <v>529576.32000000007</v>
      </c>
    </row>
    <row r="707" spans="1:11" x14ac:dyDescent="0.35">
      <c r="A707" t="s">
        <v>697</v>
      </c>
      <c r="B707" t="s">
        <v>968</v>
      </c>
      <c r="C707" t="s">
        <v>19</v>
      </c>
      <c r="D707" s="1">
        <v>44198</v>
      </c>
      <c r="E707">
        <v>853798043</v>
      </c>
      <c r="F707" s="1">
        <v>44232</v>
      </c>
      <c r="G707">
        <v>6669</v>
      </c>
      <c r="H707">
        <v>152.58000000000001</v>
      </c>
      <c r="I707">
        <v>97.44</v>
      </c>
      <c r="J707">
        <v>1017556.0200000001</v>
      </c>
      <c r="K707">
        <v>649827.36</v>
      </c>
    </row>
    <row r="708" spans="1:11" x14ac:dyDescent="0.35">
      <c r="A708" t="s">
        <v>698</v>
      </c>
      <c r="B708" t="s">
        <v>970</v>
      </c>
      <c r="C708" t="s">
        <v>12</v>
      </c>
      <c r="D708" s="1">
        <v>44741</v>
      </c>
      <c r="E708">
        <v>766409099</v>
      </c>
      <c r="F708" s="1">
        <v>44745</v>
      </c>
      <c r="G708">
        <v>6338</v>
      </c>
      <c r="H708">
        <v>421.89</v>
      </c>
      <c r="I708">
        <v>364.69</v>
      </c>
      <c r="J708">
        <v>2673938.8199999998</v>
      </c>
      <c r="K708">
        <v>2311405.2200000002</v>
      </c>
    </row>
    <row r="709" spans="1:11" x14ac:dyDescent="0.35">
      <c r="A709" t="s">
        <v>699</v>
      </c>
      <c r="B709" t="s">
        <v>974</v>
      </c>
      <c r="C709" t="s">
        <v>19</v>
      </c>
      <c r="D709" s="1">
        <v>44206</v>
      </c>
      <c r="E709">
        <v>556371533</v>
      </c>
      <c r="F709" s="1">
        <v>44236</v>
      </c>
      <c r="G709">
        <v>1555</v>
      </c>
      <c r="H709">
        <v>9.33</v>
      </c>
      <c r="I709">
        <v>6.92</v>
      </c>
      <c r="J709">
        <v>14508.15</v>
      </c>
      <c r="K709">
        <v>10760.6</v>
      </c>
    </row>
    <row r="710" spans="1:11" x14ac:dyDescent="0.35">
      <c r="A710" t="s">
        <v>700</v>
      </c>
      <c r="B710" t="s">
        <v>976</v>
      </c>
      <c r="C710" t="s">
        <v>19</v>
      </c>
      <c r="D710" s="1">
        <v>44802</v>
      </c>
      <c r="E710">
        <v>361234176</v>
      </c>
      <c r="F710" s="1">
        <v>44815</v>
      </c>
      <c r="G710">
        <v>6075</v>
      </c>
      <c r="H710">
        <v>255.28</v>
      </c>
      <c r="I710">
        <v>159.41999999999999</v>
      </c>
      <c r="J710">
        <v>1550826</v>
      </c>
      <c r="K710">
        <v>968476.49999999988</v>
      </c>
    </row>
    <row r="711" spans="1:11" x14ac:dyDescent="0.35">
      <c r="A711" t="s">
        <v>701</v>
      </c>
      <c r="B711" t="s">
        <v>974</v>
      </c>
      <c r="C711" t="s">
        <v>19</v>
      </c>
      <c r="D711" s="1">
        <v>44708</v>
      </c>
      <c r="E711">
        <v>838858354</v>
      </c>
      <c r="F711" s="1">
        <v>44728</v>
      </c>
      <c r="G711">
        <v>5683</v>
      </c>
      <c r="H711">
        <v>9.33</v>
      </c>
      <c r="I711">
        <v>6.92</v>
      </c>
      <c r="J711">
        <v>53022.39</v>
      </c>
      <c r="K711">
        <v>39326.36</v>
      </c>
    </row>
    <row r="712" spans="1:11" x14ac:dyDescent="0.35">
      <c r="A712" t="s">
        <v>702</v>
      </c>
      <c r="B712" t="s">
        <v>978</v>
      </c>
      <c r="C712" t="s">
        <v>14</v>
      </c>
      <c r="D712" s="1">
        <v>44860</v>
      </c>
      <c r="E712">
        <v>917417895</v>
      </c>
      <c r="F712" s="1">
        <v>44862</v>
      </c>
      <c r="G712">
        <v>3197</v>
      </c>
      <c r="H712">
        <v>47.45</v>
      </c>
      <c r="I712">
        <v>31.79</v>
      </c>
      <c r="J712">
        <v>151697.65000000002</v>
      </c>
      <c r="K712">
        <v>101632.62999999999</v>
      </c>
    </row>
    <row r="713" spans="1:11" x14ac:dyDescent="0.35">
      <c r="A713" t="s">
        <v>703</v>
      </c>
      <c r="B713" t="s">
        <v>970</v>
      </c>
      <c r="C713" t="s">
        <v>19</v>
      </c>
      <c r="D713" s="1">
        <v>44255</v>
      </c>
      <c r="E713">
        <v>945399129</v>
      </c>
      <c r="F713" s="1">
        <v>44284</v>
      </c>
      <c r="G713">
        <v>3466</v>
      </c>
      <c r="H713">
        <v>421.89</v>
      </c>
      <c r="I713">
        <v>364.69</v>
      </c>
      <c r="J713">
        <v>1462270.74</v>
      </c>
      <c r="K713">
        <v>1264015.54</v>
      </c>
    </row>
    <row r="714" spans="1:11" x14ac:dyDescent="0.35">
      <c r="A714" t="s">
        <v>704</v>
      </c>
      <c r="B714" t="s">
        <v>970</v>
      </c>
      <c r="C714" t="s">
        <v>17</v>
      </c>
      <c r="D714" s="1">
        <v>44643</v>
      </c>
      <c r="E714">
        <v>441600883</v>
      </c>
      <c r="F714" s="1">
        <v>44647</v>
      </c>
      <c r="G714">
        <v>8369</v>
      </c>
      <c r="H714">
        <v>421.89</v>
      </c>
      <c r="I714">
        <v>364.69</v>
      </c>
      <c r="J714">
        <v>3530797.4099999997</v>
      </c>
      <c r="K714">
        <v>3052090.61</v>
      </c>
    </row>
    <row r="715" spans="1:11" x14ac:dyDescent="0.35">
      <c r="A715" t="s">
        <v>705</v>
      </c>
      <c r="B715" t="s">
        <v>986</v>
      </c>
      <c r="C715" t="s">
        <v>12</v>
      </c>
      <c r="D715" s="1">
        <v>44793</v>
      </c>
      <c r="E715">
        <v>345134484</v>
      </c>
      <c r="F715" s="1">
        <v>44841</v>
      </c>
      <c r="G715">
        <v>1818</v>
      </c>
      <c r="H715">
        <v>154.06</v>
      </c>
      <c r="I715">
        <v>90.93</v>
      </c>
      <c r="J715">
        <v>280081.08</v>
      </c>
      <c r="K715">
        <v>165310.74000000002</v>
      </c>
    </row>
    <row r="716" spans="1:11" x14ac:dyDescent="0.35">
      <c r="A716" t="s">
        <v>706</v>
      </c>
      <c r="B716" t="s">
        <v>970</v>
      </c>
      <c r="C716" t="s">
        <v>12</v>
      </c>
      <c r="D716" s="1">
        <v>44139</v>
      </c>
      <c r="E716">
        <v>765423762</v>
      </c>
      <c r="F716" s="1">
        <v>44153</v>
      </c>
      <c r="G716">
        <v>4756</v>
      </c>
      <c r="H716">
        <v>421.89</v>
      </c>
      <c r="I716">
        <v>364.69</v>
      </c>
      <c r="J716">
        <v>2006508.8399999999</v>
      </c>
      <c r="K716">
        <v>1734465.64</v>
      </c>
    </row>
    <row r="717" spans="1:11" x14ac:dyDescent="0.35">
      <c r="A717" t="s">
        <v>707</v>
      </c>
      <c r="B717" t="s">
        <v>976</v>
      </c>
      <c r="C717" t="s">
        <v>19</v>
      </c>
      <c r="D717" s="1">
        <v>44353</v>
      </c>
      <c r="E717">
        <v>532205045</v>
      </c>
      <c r="F717" s="1">
        <v>44378</v>
      </c>
      <c r="G717">
        <v>154</v>
      </c>
      <c r="H717">
        <v>255.28</v>
      </c>
      <c r="I717">
        <v>159.41999999999999</v>
      </c>
      <c r="J717">
        <v>39313.120000000003</v>
      </c>
      <c r="K717">
        <v>24550.679999999997</v>
      </c>
    </row>
    <row r="718" spans="1:11" x14ac:dyDescent="0.35">
      <c r="A718" t="s">
        <v>708</v>
      </c>
      <c r="B718" t="s">
        <v>986</v>
      </c>
      <c r="C718" t="s">
        <v>19</v>
      </c>
      <c r="D718" s="1">
        <v>44641</v>
      </c>
      <c r="E718">
        <v>345527160</v>
      </c>
      <c r="F718" s="1">
        <v>44679</v>
      </c>
      <c r="G718">
        <v>8020</v>
      </c>
      <c r="H718">
        <v>154.06</v>
      </c>
      <c r="I718">
        <v>90.93</v>
      </c>
      <c r="J718">
        <v>1235561.2</v>
      </c>
      <c r="K718">
        <v>729258.60000000009</v>
      </c>
    </row>
    <row r="719" spans="1:11" x14ac:dyDescent="0.35">
      <c r="A719" t="s">
        <v>709</v>
      </c>
      <c r="B719" t="s">
        <v>986</v>
      </c>
      <c r="C719" t="s">
        <v>12</v>
      </c>
      <c r="D719" s="1">
        <v>44357</v>
      </c>
      <c r="E719">
        <v>525751435</v>
      </c>
      <c r="F719" s="1">
        <v>44382</v>
      </c>
      <c r="G719">
        <v>388</v>
      </c>
      <c r="H719">
        <v>154.06</v>
      </c>
      <c r="I719">
        <v>90.93</v>
      </c>
      <c r="J719">
        <v>59775.28</v>
      </c>
      <c r="K719">
        <v>35280.840000000004</v>
      </c>
    </row>
    <row r="720" spans="1:11" x14ac:dyDescent="0.35">
      <c r="A720" t="s">
        <v>710</v>
      </c>
      <c r="B720" t="s">
        <v>986</v>
      </c>
      <c r="C720" t="s">
        <v>17</v>
      </c>
      <c r="D720" s="1">
        <v>44569</v>
      </c>
      <c r="E720">
        <v>563551700</v>
      </c>
      <c r="F720" s="1">
        <v>44616</v>
      </c>
      <c r="G720">
        <v>6326</v>
      </c>
      <c r="H720">
        <v>154.06</v>
      </c>
      <c r="I720">
        <v>90.93</v>
      </c>
      <c r="J720">
        <v>974583.56</v>
      </c>
      <c r="K720">
        <v>575223.18000000005</v>
      </c>
    </row>
    <row r="721" spans="1:11" x14ac:dyDescent="0.35">
      <c r="A721" t="s">
        <v>264</v>
      </c>
      <c r="B721" t="s">
        <v>976</v>
      </c>
      <c r="C721" t="s">
        <v>17</v>
      </c>
      <c r="D721" s="1">
        <v>44402</v>
      </c>
      <c r="E721">
        <v>469914281</v>
      </c>
      <c r="F721" s="1">
        <v>44426</v>
      </c>
      <c r="G721">
        <v>6933</v>
      </c>
      <c r="H721">
        <v>255.28</v>
      </c>
      <c r="I721">
        <v>159.41999999999999</v>
      </c>
      <c r="J721">
        <v>1769856.24</v>
      </c>
      <c r="K721">
        <v>1105258.8599999999</v>
      </c>
    </row>
    <row r="722" spans="1:11" x14ac:dyDescent="0.35">
      <c r="A722" t="s">
        <v>711</v>
      </c>
      <c r="B722" t="s">
        <v>970</v>
      </c>
      <c r="C722" t="s">
        <v>14</v>
      </c>
      <c r="D722" s="1">
        <v>44695</v>
      </c>
      <c r="E722">
        <v>326138007</v>
      </c>
      <c r="F722" s="1">
        <v>44716</v>
      </c>
      <c r="G722">
        <v>339</v>
      </c>
      <c r="H722">
        <v>421.89</v>
      </c>
      <c r="I722">
        <v>364.69</v>
      </c>
      <c r="J722">
        <v>143020.71</v>
      </c>
      <c r="K722">
        <v>123629.91</v>
      </c>
    </row>
    <row r="723" spans="1:11" x14ac:dyDescent="0.35">
      <c r="A723" t="s">
        <v>712</v>
      </c>
      <c r="B723" t="s">
        <v>984</v>
      </c>
      <c r="C723" t="s">
        <v>12</v>
      </c>
      <c r="D723" s="1">
        <v>44345</v>
      </c>
      <c r="E723">
        <v>733834207</v>
      </c>
      <c r="F723" s="1">
        <v>44356</v>
      </c>
      <c r="G723">
        <v>6704</v>
      </c>
      <c r="H723">
        <v>651.21</v>
      </c>
      <c r="I723">
        <v>524.96</v>
      </c>
      <c r="J723">
        <v>4365711.84</v>
      </c>
      <c r="K723">
        <v>3519331.8400000003</v>
      </c>
    </row>
    <row r="724" spans="1:11" x14ac:dyDescent="0.35">
      <c r="A724" t="s">
        <v>713</v>
      </c>
      <c r="B724" t="s">
        <v>990</v>
      </c>
      <c r="C724" t="s">
        <v>12</v>
      </c>
      <c r="D724" s="1">
        <v>43963</v>
      </c>
      <c r="E724">
        <v>564926707</v>
      </c>
      <c r="F724" s="1">
        <v>43970</v>
      </c>
      <c r="G724">
        <v>3221</v>
      </c>
      <c r="H724">
        <v>668.27</v>
      </c>
      <c r="I724">
        <v>502.54</v>
      </c>
      <c r="J724">
        <v>2152497.67</v>
      </c>
      <c r="K724">
        <v>1618681.34</v>
      </c>
    </row>
    <row r="725" spans="1:11" x14ac:dyDescent="0.35">
      <c r="A725" t="s">
        <v>714</v>
      </c>
      <c r="B725" t="s">
        <v>988</v>
      </c>
      <c r="C725" t="s">
        <v>12</v>
      </c>
      <c r="D725" s="1">
        <v>44305</v>
      </c>
      <c r="E725">
        <v>111651837</v>
      </c>
      <c r="F725" s="1">
        <v>44341</v>
      </c>
      <c r="G725">
        <v>9115</v>
      </c>
      <c r="H725">
        <v>109.28</v>
      </c>
      <c r="I725">
        <v>35.840000000000003</v>
      </c>
      <c r="J725">
        <v>996087.2</v>
      </c>
      <c r="K725">
        <v>326681.60000000003</v>
      </c>
    </row>
    <row r="726" spans="1:11" x14ac:dyDescent="0.35">
      <c r="A726" t="s">
        <v>715</v>
      </c>
      <c r="B726" t="s">
        <v>986</v>
      </c>
      <c r="C726" t="s">
        <v>19</v>
      </c>
      <c r="D726" s="1">
        <v>44709</v>
      </c>
      <c r="E726">
        <v>636558425</v>
      </c>
      <c r="F726" s="1">
        <v>44720</v>
      </c>
      <c r="G726">
        <v>639</v>
      </c>
      <c r="H726">
        <v>154.06</v>
      </c>
      <c r="I726">
        <v>90.93</v>
      </c>
      <c r="J726">
        <v>98444.34</v>
      </c>
      <c r="K726">
        <v>58104.270000000004</v>
      </c>
    </row>
    <row r="727" spans="1:11" x14ac:dyDescent="0.35">
      <c r="A727" t="s">
        <v>716</v>
      </c>
      <c r="B727" t="s">
        <v>968</v>
      </c>
      <c r="C727" t="s">
        <v>14</v>
      </c>
      <c r="D727" s="1">
        <v>44660</v>
      </c>
      <c r="E727">
        <v>322507798</v>
      </c>
      <c r="F727" s="1">
        <v>44672</v>
      </c>
      <c r="G727">
        <v>6079</v>
      </c>
      <c r="H727">
        <v>152.58000000000001</v>
      </c>
      <c r="I727">
        <v>97.44</v>
      </c>
      <c r="J727">
        <v>927533.82000000007</v>
      </c>
      <c r="K727">
        <v>592337.76</v>
      </c>
    </row>
    <row r="728" spans="1:11" x14ac:dyDescent="0.35">
      <c r="A728" t="s">
        <v>717</v>
      </c>
      <c r="B728" t="s">
        <v>988</v>
      </c>
      <c r="C728" t="s">
        <v>14</v>
      </c>
      <c r="D728" s="1">
        <v>44311</v>
      </c>
      <c r="E728">
        <v>122673785</v>
      </c>
      <c r="F728" s="1">
        <v>44315</v>
      </c>
      <c r="G728">
        <v>754</v>
      </c>
      <c r="H728">
        <v>109.28</v>
      </c>
      <c r="I728">
        <v>35.840000000000003</v>
      </c>
      <c r="J728">
        <v>82397.119999999995</v>
      </c>
      <c r="K728">
        <v>27023.360000000004</v>
      </c>
    </row>
    <row r="729" spans="1:11" x14ac:dyDescent="0.35">
      <c r="A729" t="s">
        <v>718</v>
      </c>
      <c r="B729" t="s">
        <v>986</v>
      </c>
      <c r="C729" t="s">
        <v>19</v>
      </c>
      <c r="D729" s="1">
        <v>43963</v>
      </c>
      <c r="E729">
        <v>610542714</v>
      </c>
      <c r="F729" s="1">
        <v>43980</v>
      </c>
      <c r="G729">
        <v>2012</v>
      </c>
      <c r="H729">
        <v>154.06</v>
      </c>
      <c r="I729">
        <v>90.93</v>
      </c>
      <c r="J729">
        <v>309968.72000000003</v>
      </c>
      <c r="K729">
        <v>182951.16</v>
      </c>
    </row>
    <row r="730" spans="1:11" x14ac:dyDescent="0.35">
      <c r="A730" t="s">
        <v>719</v>
      </c>
      <c r="B730" t="s">
        <v>976</v>
      </c>
      <c r="C730" t="s">
        <v>17</v>
      </c>
      <c r="D730" s="1">
        <v>44584</v>
      </c>
      <c r="E730">
        <v>629913413</v>
      </c>
      <c r="F730" s="1">
        <v>44601</v>
      </c>
      <c r="G730">
        <v>4232</v>
      </c>
      <c r="H730">
        <v>255.28</v>
      </c>
      <c r="I730">
        <v>159.41999999999999</v>
      </c>
      <c r="J730">
        <v>1080344.96</v>
      </c>
      <c r="K730">
        <v>674665.44</v>
      </c>
    </row>
    <row r="731" spans="1:11" x14ac:dyDescent="0.35">
      <c r="A731" t="s">
        <v>720</v>
      </c>
      <c r="B731" t="s">
        <v>988</v>
      </c>
      <c r="C731" t="s">
        <v>14</v>
      </c>
      <c r="D731" s="1">
        <v>44159</v>
      </c>
      <c r="E731">
        <v>444897210</v>
      </c>
      <c r="F731" s="1">
        <v>44197</v>
      </c>
      <c r="G731">
        <v>3826</v>
      </c>
      <c r="H731">
        <v>109.28</v>
      </c>
      <c r="I731">
        <v>35.840000000000003</v>
      </c>
      <c r="J731">
        <v>418105.28</v>
      </c>
      <c r="K731">
        <v>137123.84000000003</v>
      </c>
    </row>
    <row r="732" spans="1:11" x14ac:dyDescent="0.35">
      <c r="A732" t="s">
        <v>721</v>
      </c>
      <c r="B732" t="s">
        <v>968</v>
      </c>
      <c r="C732" t="s">
        <v>14</v>
      </c>
      <c r="D732" s="1">
        <v>44472</v>
      </c>
      <c r="E732">
        <v>389917933</v>
      </c>
      <c r="F732" s="1">
        <v>44518</v>
      </c>
      <c r="G732">
        <v>4236</v>
      </c>
      <c r="H732">
        <v>152.58000000000001</v>
      </c>
      <c r="I732">
        <v>97.44</v>
      </c>
      <c r="J732">
        <v>646328.88</v>
      </c>
      <c r="K732">
        <v>412755.83999999997</v>
      </c>
    </row>
    <row r="733" spans="1:11" x14ac:dyDescent="0.35">
      <c r="A733" t="s">
        <v>722</v>
      </c>
      <c r="B733" t="s">
        <v>980</v>
      </c>
      <c r="C733" t="s">
        <v>14</v>
      </c>
      <c r="D733" s="1">
        <v>44323</v>
      </c>
      <c r="E733">
        <v>419711911</v>
      </c>
      <c r="F733" s="1">
        <v>44348</v>
      </c>
      <c r="G733">
        <v>936</v>
      </c>
      <c r="H733">
        <v>437.2</v>
      </c>
      <c r="I733">
        <v>263.33</v>
      </c>
      <c r="J733">
        <v>409219.2</v>
      </c>
      <c r="K733">
        <v>246476.87999999998</v>
      </c>
    </row>
    <row r="734" spans="1:11" x14ac:dyDescent="0.35">
      <c r="A734" t="s">
        <v>723</v>
      </c>
      <c r="B734" t="s">
        <v>988</v>
      </c>
      <c r="C734" t="s">
        <v>17</v>
      </c>
      <c r="D734" s="1">
        <v>44223</v>
      </c>
      <c r="E734">
        <v>559327971</v>
      </c>
      <c r="F734" s="1">
        <v>44270</v>
      </c>
      <c r="G734">
        <v>6431</v>
      </c>
      <c r="H734">
        <v>109.28</v>
      </c>
      <c r="I734">
        <v>35.840000000000003</v>
      </c>
      <c r="J734">
        <v>702779.68</v>
      </c>
      <c r="K734">
        <v>230487.04000000001</v>
      </c>
    </row>
    <row r="735" spans="1:11" x14ac:dyDescent="0.35">
      <c r="A735" t="s">
        <v>724</v>
      </c>
      <c r="B735" t="s">
        <v>984</v>
      </c>
      <c r="C735" t="s">
        <v>14</v>
      </c>
      <c r="D735" s="1">
        <v>44833</v>
      </c>
      <c r="E735">
        <v>454127442</v>
      </c>
      <c r="F735" s="1">
        <v>44877</v>
      </c>
      <c r="G735">
        <v>5257</v>
      </c>
      <c r="H735">
        <v>651.21</v>
      </c>
      <c r="I735">
        <v>524.96</v>
      </c>
      <c r="J735">
        <v>3423410.97</v>
      </c>
      <c r="K735">
        <v>2759714.72</v>
      </c>
    </row>
    <row r="736" spans="1:11" x14ac:dyDescent="0.35">
      <c r="A736" t="s">
        <v>725</v>
      </c>
      <c r="B736" t="s">
        <v>972</v>
      </c>
      <c r="C736" t="s">
        <v>12</v>
      </c>
      <c r="D736" s="1">
        <v>44348</v>
      </c>
      <c r="E736">
        <v>719784152</v>
      </c>
      <c r="F736" s="1">
        <v>44388</v>
      </c>
      <c r="G736">
        <v>8981</v>
      </c>
      <c r="H736">
        <v>205.7</v>
      </c>
      <c r="I736">
        <v>117.11</v>
      </c>
      <c r="J736">
        <v>1847391.7</v>
      </c>
      <c r="K736">
        <v>1051764.9099999999</v>
      </c>
    </row>
    <row r="737" spans="1:11" x14ac:dyDescent="0.35">
      <c r="A737" t="s">
        <v>726</v>
      </c>
      <c r="B737" t="s">
        <v>986</v>
      </c>
      <c r="C737" t="s">
        <v>14</v>
      </c>
      <c r="D737" s="1">
        <v>44243</v>
      </c>
      <c r="E737">
        <v>692284429</v>
      </c>
      <c r="F737" s="1">
        <v>44262</v>
      </c>
      <c r="G737">
        <v>1201</v>
      </c>
      <c r="H737">
        <v>154.06</v>
      </c>
      <c r="I737">
        <v>90.93</v>
      </c>
      <c r="J737">
        <v>185026.06</v>
      </c>
      <c r="K737">
        <v>109206.93000000001</v>
      </c>
    </row>
    <row r="738" spans="1:11" x14ac:dyDescent="0.35">
      <c r="A738" t="s">
        <v>727</v>
      </c>
      <c r="B738" t="s">
        <v>968</v>
      </c>
      <c r="C738" t="s">
        <v>17</v>
      </c>
      <c r="D738" s="1">
        <v>44573</v>
      </c>
      <c r="E738">
        <v>677927100</v>
      </c>
      <c r="F738" s="1">
        <v>44579</v>
      </c>
      <c r="G738">
        <v>2549</v>
      </c>
      <c r="H738">
        <v>152.58000000000001</v>
      </c>
      <c r="I738">
        <v>97.44</v>
      </c>
      <c r="J738">
        <v>388926.42000000004</v>
      </c>
      <c r="K738">
        <v>248374.56</v>
      </c>
    </row>
    <row r="739" spans="1:11" x14ac:dyDescent="0.35">
      <c r="A739" t="s">
        <v>728</v>
      </c>
      <c r="B739" t="s">
        <v>972</v>
      </c>
      <c r="C739" t="s">
        <v>17</v>
      </c>
      <c r="D739" s="1">
        <v>44496</v>
      </c>
      <c r="E739">
        <v>603323495</v>
      </c>
      <c r="F739" s="1">
        <v>44536</v>
      </c>
      <c r="G739">
        <v>5684</v>
      </c>
      <c r="H739">
        <v>205.7</v>
      </c>
      <c r="I739">
        <v>117.11</v>
      </c>
      <c r="J739">
        <v>1169198.8</v>
      </c>
      <c r="K739">
        <v>665653.24</v>
      </c>
    </row>
    <row r="740" spans="1:11" x14ac:dyDescent="0.35">
      <c r="A740" t="s">
        <v>729</v>
      </c>
      <c r="B740" t="s">
        <v>988</v>
      </c>
      <c r="C740" t="s">
        <v>17</v>
      </c>
      <c r="D740" s="1">
        <v>43841</v>
      </c>
      <c r="E740">
        <v>465397441</v>
      </c>
      <c r="F740" s="1">
        <v>43884</v>
      </c>
      <c r="G740">
        <v>300</v>
      </c>
      <c r="H740">
        <v>109.28</v>
      </c>
      <c r="I740">
        <v>35.840000000000003</v>
      </c>
      <c r="J740">
        <v>32784</v>
      </c>
      <c r="K740">
        <v>10752.000000000002</v>
      </c>
    </row>
    <row r="741" spans="1:11" x14ac:dyDescent="0.35">
      <c r="A741" t="s">
        <v>730</v>
      </c>
      <c r="B741" t="s">
        <v>976</v>
      </c>
      <c r="C741" t="s">
        <v>14</v>
      </c>
      <c r="D741" s="1">
        <v>44668</v>
      </c>
      <c r="E741">
        <v>781385266</v>
      </c>
      <c r="F741" s="1">
        <v>44673</v>
      </c>
      <c r="G741">
        <v>8119</v>
      </c>
      <c r="H741">
        <v>255.28</v>
      </c>
      <c r="I741">
        <v>159.41999999999999</v>
      </c>
      <c r="J741">
        <v>2072618.32</v>
      </c>
      <c r="K741">
        <v>1294330.98</v>
      </c>
    </row>
    <row r="742" spans="1:11" x14ac:dyDescent="0.35">
      <c r="A742" t="s">
        <v>551</v>
      </c>
      <c r="B742" t="s">
        <v>984</v>
      </c>
      <c r="C742" t="s">
        <v>19</v>
      </c>
      <c r="D742" s="1">
        <v>44490</v>
      </c>
      <c r="E742">
        <v>338835799</v>
      </c>
      <c r="F742" s="1">
        <v>44495</v>
      </c>
      <c r="G742">
        <v>7898</v>
      </c>
      <c r="H742">
        <v>651.21</v>
      </c>
      <c r="I742">
        <v>524.96</v>
      </c>
      <c r="J742">
        <v>5143256.58</v>
      </c>
      <c r="K742">
        <v>4146134.08</v>
      </c>
    </row>
    <row r="743" spans="1:11" x14ac:dyDescent="0.35">
      <c r="A743" t="s">
        <v>731</v>
      </c>
      <c r="B743" t="s">
        <v>976</v>
      </c>
      <c r="C743" t="s">
        <v>12</v>
      </c>
      <c r="D743" s="1">
        <v>44094</v>
      </c>
      <c r="E743">
        <v>245610368</v>
      </c>
      <c r="F743" s="1">
        <v>44126</v>
      </c>
      <c r="G743">
        <v>421</v>
      </c>
      <c r="H743">
        <v>255.28</v>
      </c>
      <c r="I743">
        <v>159.41999999999999</v>
      </c>
      <c r="J743">
        <v>107472.88</v>
      </c>
      <c r="K743">
        <v>67115.819999999992</v>
      </c>
    </row>
    <row r="744" spans="1:11" x14ac:dyDescent="0.35">
      <c r="A744" t="s">
        <v>732</v>
      </c>
      <c r="B744" t="s">
        <v>976</v>
      </c>
      <c r="C744" t="s">
        <v>14</v>
      </c>
      <c r="D744" s="1">
        <v>43897</v>
      </c>
      <c r="E744">
        <v>779882800</v>
      </c>
      <c r="F744" s="1">
        <v>43911</v>
      </c>
      <c r="G744">
        <v>3506</v>
      </c>
      <c r="H744">
        <v>255.28</v>
      </c>
      <c r="I744">
        <v>159.41999999999999</v>
      </c>
      <c r="J744">
        <v>895011.68</v>
      </c>
      <c r="K744">
        <v>558926.5199999999</v>
      </c>
    </row>
    <row r="745" spans="1:11" x14ac:dyDescent="0.35">
      <c r="A745" t="s">
        <v>733</v>
      </c>
      <c r="B745" t="s">
        <v>982</v>
      </c>
      <c r="C745" t="s">
        <v>17</v>
      </c>
      <c r="D745" s="1">
        <v>44458</v>
      </c>
      <c r="E745">
        <v>940139424</v>
      </c>
      <c r="F745" s="1">
        <v>44502</v>
      </c>
      <c r="G745">
        <v>7002</v>
      </c>
      <c r="H745">
        <v>81.73</v>
      </c>
      <c r="I745">
        <v>56.67</v>
      </c>
      <c r="J745">
        <v>572273.46000000008</v>
      </c>
      <c r="K745">
        <v>396803.34</v>
      </c>
    </row>
    <row r="746" spans="1:11" x14ac:dyDescent="0.35">
      <c r="A746" t="s">
        <v>734</v>
      </c>
      <c r="B746" t="s">
        <v>990</v>
      </c>
      <c r="C746" t="s">
        <v>14</v>
      </c>
      <c r="D746" s="1">
        <v>43877</v>
      </c>
      <c r="E746">
        <v>695179069</v>
      </c>
      <c r="F746" s="1">
        <v>43877</v>
      </c>
      <c r="G746">
        <v>7790</v>
      </c>
      <c r="H746">
        <v>668.27</v>
      </c>
      <c r="I746">
        <v>502.54</v>
      </c>
      <c r="J746">
        <v>5205823.3</v>
      </c>
      <c r="K746">
        <v>3914786.6</v>
      </c>
    </row>
    <row r="747" spans="1:11" x14ac:dyDescent="0.35">
      <c r="A747" t="s">
        <v>735</v>
      </c>
      <c r="B747" t="s">
        <v>974</v>
      </c>
      <c r="C747" t="s">
        <v>12</v>
      </c>
      <c r="D747" s="1">
        <v>44573</v>
      </c>
      <c r="E747">
        <v>534113061</v>
      </c>
      <c r="F747" s="1">
        <v>44602</v>
      </c>
      <c r="G747">
        <v>4779</v>
      </c>
      <c r="H747">
        <v>9.33</v>
      </c>
      <c r="I747">
        <v>6.92</v>
      </c>
      <c r="J747">
        <v>44588.07</v>
      </c>
      <c r="K747">
        <v>33070.68</v>
      </c>
    </row>
    <row r="748" spans="1:11" x14ac:dyDescent="0.35">
      <c r="A748" t="s">
        <v>736</v>
      </c>
      <c r="B748" t="s">
        <v>980</v>
      </c>
      <c r="C748" t="s">
        <v>17</v>
      </c>
      <c r="D748" s="1">
        <v>44418</v>
      </c>
      <c r="E748">
        <v>116365230</v>
      </c>
      <c r="F748" s="1">
        <v>44428</v>
      </c>
      <c r="G748">
        <v>3912</v>
      </c>
      <c r="H748">
        <v>437.2</v>
      </c>
      <c r="I748">
        <v>263.33</v>
      </c>
      <c r="J748">
        <v>1710326.4</v>
      </c>
      <c r="K748">
        <v>1030146.96</v>
      </c>
    </row>
    <row r="749" spans="1:11" x14ac:dyDescent="0.35">
      <c r="A749" t="s">
        <v>737</v>
      </c>
      <c r="B749" t="s">
        <v>972</v>
      </c>
      <c r="C749" t="s">
        <v>19</v>
      </c>
      <c r="D749" s="1">
        <v>44558</v>
      </c>
      <c r="E749">
        <v>521671903</v>
      </c>
      <c r="F749" s="1">
        <v>44598</v>
      </c>
      <c r="G749">
        <v>3164</v>
      </c>
      <c r="H749">
        <v>205.7</v>
      </c>
      <c r="I749">
        <v>117.11</v>
      </c>
      <c r="J749">
        <v>650834.79999999993</v>
      </c>
      <c r="K749">
        <v>370536.04</v>
      </c>
    </row>
    <row r="750" spans="1:11" x14ac:dyDescent="0.35">
      <c r="A750" t="s">
        <v>738</v>
      </c>
      <c r="B750" t="s">
        <v>978</v>
      </c>
      <c r="C750" t="s">
        <v>17</v>
      </c>
      <c r="D750" s="1">
        <v>44724</v>
      </c>
      <c r="E750">
        <v>200081908</v>
      </c>
      <c r="F750" s="1">
        <v>44724</v>
      </c>
      <c r="G750">
        <v>7538</v>
      </c>
      <c r="H750">
        <v>47.45</v>
      </c>
      <c r="I750">
        <v>31.79</v>
      </c>
      <c r="J750">
        <v>357678.10000000003</v>
      </c>
      <c r="K750">
        <v>239633.02</v>
      </c>
    </row>
    <row r="751" spans="1:11" x14ac:dyDescent="0.35">
      <c r="A751" t="s">
        <v>739</v>
      </c>
      <c r="B751" t="s">
        <v>980</v>
      </c>
      <c r="C751" t="s">
        <v>12</v>
      </c>
      <c r="D751" s="1">
        <v>44792</v>
      </c>
      <c r="E751">
        <v>821956574</v>
      </c>
      <c r="F751" s="1">
        <v>44831</v>
      </c>
      <c r="G751">
        <v>4071</v>
      </c>
      <c r="H751">
        <v>437.2</v>
      </c>
      <c r="I751">
        <v>263.33</v>
      </c>
      <c r="J751">
        <v>1779841.2</v>
      </c>
      <c r="K751">
        <v>1072016.43</v>
      </c>
    </row>
    <row r="752" spans="1:11" x14ac:dyDescent="0.35">
      <c r="A752" t="s">
        <v>740</v>
      </c>
      <c r="B752" t="s">
        <v>986</v>
      </c>
      <c r="C752" t="s">
        <v>14</v>
      </c>
      <c r="D752" s="1">
        <v>44262</v>
      </c>
      <c r="E752">
        <v>527969729</v>
      </c>
      <c r="F752" s="1">
        <v>44303</v>
      </c>
      <c r="G752">
        <v>6830</v>
      </c>
      <c r="H752">
        <v>154.06</v>
      </c>
      <c r="I752">
        <v>90.93</v>
      </c>
      <c r="J752">
        <v>1052229.8</v>
      </c>
      <c r="K752">
        <v>621051.9</v>
      </c>
    </row>
    <row r="753" spans="1:11" x14ac:dyDescent="0.35">
      <c r="A753" t="s">
        <v>741</v>
      </c>
      <c r="B753" t="s">
        <v>978</v>
      </c>
      <c r="C753" t="s">
        <v>17</v>
      </c>
      <c r="D753" s="1">
        <v>44870</v>
      </c>
      <c r="E753">
        <v>679107701</v>
      </c>
      <c r="F753" s="1">
        <v>44872</v>
      </c>
      <c r="G753">
        <v>1915</v>
      </c>
      <c r="H753">
        <v>47.45</v>
      </c>
      <c r="I753">
        <v>31.79</v>
      </c>
      <c r="J753">
        <v>90866.75</v>
      </c>
      <c r="K753">
        <v>60877.85</v>
      </c>
    </row>
    <row r="754" spans="1:11" x14ac:dyDescent="0.35">
      <c r="A754" t="s">
        <v>742</v>
      </c>
      <c r="B754" t="s">
        <v>986</v>
      </c>
      <c r="C754" t="s">
        <v>14</v>
      </c>
      <c r="D754" s="1">
        <v>44846</v>
      </c>
      <c r="E754">
        <v>906669318</v>
      </c>
      <c r="F754" s="1">
        <v>44858</v>
      </c>
      <c r="G754">
        <v>2454</v>
      </c>
      <c r="H754">
        <v>154.06</v>
      </c>
      <c r="I754">
        <v>90.93</v>
      </c>
      <c r="J754">
        <v>378063.24</v>
      </c>
      <c r="K754">
        <v>223142.22000000003</v>
      </c>
    </row>
    <row r="755" spans="1:11" x14ac:dyDescent="0.35">
      <c r="A755" t="s">
        <v>743</v>
      </c>
      <c r="B755" t="s">
        <v>968</v>
      </c>
      <c r="C755" t="s">
        <v>17</v>
      </c>
      <c r="D755" s="1">
        <v>44651</v>
      </c>
      <c r="E755">
        <v>462265908</v>
      </c>
      <c r="F755" s="1">
        <v>44670</v>
      </c>
      <c r="G755">
        <v>3610</v>
      </c>
      <c r="H755">
        <v>152.58000000000001</v>
      </c>
      <c r="I755">
        <v>97.44</v>
      </c>
      <c r="J755">
        <v>550813.80000000005</v>
      </c>
      <c r="K755">
        <v>351758.39999999997</v>
      </c>
    </row>
    <row r="756" spans="1:11" x14ac:dyDescent="0.35">
      <c r="A756" t="s">
        <v>744</v>
      </c>
      <c r="B756" t="s">
        <v>968</v>
      </c>
      <c r="C756" t="s">
        <v>17</v>
      </c>
      <c r="D756" s="1">
        <v>44375</v>
      </c>
      <c r="E756">
        <v>467821300</v>
      </c>
      <c r="F756" s="1">
        <v>44386</v>
      </c>
      <c r="G756">
        <v>7573</v>
      </c>
      <c r="H756">
        <v>152.58000000000001</v>
      </c>
      <c r="I756">
        <v>97.44</v>
      </c>
      <c r="J756">
        <v>1155488.3400000001</v>
      </c>
      <c r="K756">
        <v>737913.12</v>
      </c>
    </row>
    <row r="757" spans="1:11" x14ac:dyDescent="0.35">
      <c r="A757" t="s">
        <v>745</v>
      </c>
      <c r="B757" t="s">
        <v>980</v>
      </c>
      <c r="C757" t="s">
        <v>14</v>
      </c>
      <c r="D757" s="1">
        <v>44253</v>
      </c>
      <c r="E757">
        <v>765571820</v>
      </c>
      <c r="F757" s="1">
        <v>44293</v>
      </c>
      <c r="G757">
        <v>8569</v>
      </c>
      <c r="H757">
        <v>437.2</v>
      </c>
      <c r="I757">
        <v>263.33</v>
      </c>
      <c r="J757">
        <v>3746366.8</v>
      </c>
      <c r="K757">
        <v>2256474.77</v>
      </c>
    </row>
    <row r="758" spans="1:11" x14ac:dyDescent="0.35">
      <c r="A758" t="s">
        <v>746</v>
      </c>
      <c r="B758" t="s">
        <v>980</v>
      </c>
      <c r="C758" t="s">
        <v>12</v>
      </c>
      <c r="D758" s="1">
        <v>44144</v>
      </c>
      <c r="E758">
        <v>368066298</v>
      </c>
      <c r="F758" s="1">
        <v>44189</v>
      </c>
      <c r="G758">
        <v>7852</v>
      </c>
      <c r="H758">
        <v>437.2</v>
      </c>
      <c r="I758">
        <v>263.33</v>
      </c>
      <c r="J758">
        <v>3432894.4</v>
      </c>
      <c r="K758">
        <v>2067667.16</v>
      </c>
    </row>
    <row r="759" spans="1:11" x14ac:dyDescent="0.35">
      <c r="A759" t="s">
        <v>747</v>
      </c>
      <c r="B759" t="s">
        <v>990</v>
      </c>
      <c r="C759" t="s">
        <v>19</v>
      </c>
      <c r="D759" s="1">
        <v>44055</v>
      </c>
      <c r="E759">
        <v>608166062</v>
      </c>
      <c r="F759" s="1">
        <v>44083</v>
      </c>
      <c r="G759">
        <v>8707</v>
      </c>
      <c r="H759">
        <v>668.27</v>
      </c>
      <c r="I759">
        <v>502.54</v>
      </c>
      <c r="J759">
        <v>5818626.8899999997</v>
      </c>
      <c r="K759">
        <v>4375615.78</v>
      </c>
    </row>
    <row r="760" spans="1:11" x14ac:dyDescent="0.35">
      <c r="A760" t="s">
        <v>748</v>
      </c>
      <c r="B760" t="s">
        <v>988</v>
      </c>
      <c r="C760" t="s">
        <v>14</v>
      </c>
      <c r="D760" s="1">
        <v>44661</v>
      </c>
      <c r="E760">
        <v>189044940</v>
      </c>
      <c r="F760" s="1">
        <v>44693</v>
      </c>
      <c r="G760">
        <v>1454</v>
      </c>
      <c r="H760">
        <v>109.28</v>
      </c>
      <c r="I760">
        <v>35.840000000000003</v>
      </c>
      <c r="J760">
        <v>158893.12</v>
      </c>
      <c r="K760">
        <v>52111.360000000008</v>
      </c>
    </row>
    <row r="761" spans="1:11" x14ac:dyDescent="0.35">
      <c r="A761" t="s">
        <v>749</v>
      </c>
      <c r="B761" t="s">
        <v>972</v>
      </c>
      <c r="C761" t="s">
        <v>12</v>
      </c>
      <c r="D761" s="1">
        <v>44696</v>
      </c>
      <c r="E761">
        <v>134189260</v>
      </c>
      <c r="F761" s="1">
        <v>44705</v>
      </c>
      <c r="G761">
        <v>8439</v>
      </c>
      <c r="H761">
        <v>205.7</v>
      </c>
      <c r="I761">
        <v>117.11</v>
      </c>
      <c r="J761">
        <v>1735902.2999999998</v>
      </c>
      <c r="K761">
        <v>988291.29</v>
      </c>
    </row>
    <row r="762" spans="1:11" x14ac:dyDescent="0.35">
      <c r="A762" t="s">
        <v>750</v>
      </c>
      <c r="B762" t="s">
        <v>982</v>
      </c>
      <c r="C762" t="s">
        <v>17</v>
      </c>
      <c r="D762" s="1">
        <v>44609</v>
      </c>
      <c r="E762">
        <v>637397849</v>
      </c>
      <c r="F762" s="1">
        <v>44613</v>
      </c>
      <c r="G762">
        <v>9043</v>
      </c>
      <c r="H762">
        <v>81.73</v>
      </c>
      <c r="I762">
        <v>56.67</v>
      </c>
      <c r="J762">
        <v>739084.39</v>
      </c>
      <c r="K762">
        <v>512466.81</v>
      </c>
    </row>
    <row r="763" spans="1:11" x14ac:dyDescent="0.35">
      <c r="A763" t="s">
        <v>751</v>
      </c>
      <c r="B763" t="s">
        <v>988</v>
      </c>
      <c r="C763" t="s">
        <v>14</v>
      </c>
      <c r="D763" s="1">
        <v>43947</v>
      </c>
      <c r="E763">
        <v>612782037</v>
      </c>
      <c r="F763" s="1">
        <v>43970</v>
      </c>
      <c r="G763">
        <v>4677</v>
      </c>
      <c r="H763">
        <v>109.28</v>
      </c>
      <c r="I763">
        <v>35.840000000000003</v>
      </c>
      <c r="J763">
        <v>511102.56</v>
      </c>
      <c r="K763">
        <v>167623.68000000002</v>
      </c>
    </row>
    <row r="764" spans="1:11" x14ac:dyDescent="0.35">
      <c r="A764" t="s">
        <v>752</v>
      </c>
      <c r="B764" t="s">
        <v>984</v>
      </c>
      <c r="C764" t="s">
        <v>12</v>
      </c>
      <c r="D764" s="1">
        <v>43975</v>
      </c>
      <c r="E764">
        <v>844765651</v>
      </c>
      <c r="F764" s="1">
        <v>43983</v>
      </c>
      <c r="G764">
        <v>3783</v>
      </c>
      <c r="H764">
        <v>651.21</v>
      </c>
      <c r="I764">
        <v>524.96</v>
      </c>
      <c r="J764">
        <v>2463527.4300000002</v>
      </c>
      <c r="K764">
        <v>1985923.6800000002</v>
      </c>
    </row>
    <row r="765" spans="1:11" x14ac:dyDescent="0.35">
      <c r="A765" t="s">
        <v>753</v>
      </c>
      <c r="B765" t="s">
        <v>978</v>
      </c>
      <c r="C765" t="s">
        <v>19</v>
      </c>
      <c r="D765" s="1">
        <v>44014</v>
      </c>
      <c r="E765">
        <v>838085019</v>
      </c>
      <c r="F765" s="1">
        <v>44033</v>
      </c>
      <c r="G765">
        <v>6836</v>
      </c>
      <c r="H765">
        <v>47.45</v>
      </c>
      <c r="I765">
        <v>31.79</v>
      </c>
      <c r="J765">
        <v>324368.2</v>
      </c>
      <c r="K765">
        <v>217316.44</v>
      </c>
    </row>
    <row r="766" spans="1:11" x14ac:dyDescent="0.35">
      <c r="A766" t="s">
        <v>754</v>
      </c>
      <c r="B766" t="s">
        <v>968</v>
      </c>
      <c r="C766" t="s">
        <v>19</v>
      </c>
      <c r="D766" s="1">
        <v>44054</v>
      </c>
      <c r="E766">
        <v>167788970</v>
      </c>
      <c r="F766" s="1">
        <v>44054</v>
      </c>
      <c r="G766">
        <v>1340</v>
      </c>
      <c r="H766">
        <v>152.58000000000001</v>
      </c>
      <c r="I766">
        <v>97.44</v>
      </c>
      <c r="J766">
        <v>204457.2</v>
      </c>
      <c r="K766">
        <v>130569.59999999999</v>
      </c>
    </row>
    <row r="767" spans="1:11" x14ac:dyDescent="0.35">
      <c r="A767" t="s">
        <v>755</v>
      </c>
      <c r="B767" t="s">
        <v>984</v>
      </c>
      <c r="C767" t="s">
        <v>17</v>
      </c>
      <c r="D767" s="1">
        <v>44232</v>
      </c>
      <c r="E767">
        <v>729238831</v>
      </c>
      <c r="F767" s="1">
        <v>44243</v>
      </c>
      <c r="G767">
        <v>6830</v>
      </c>
      <c r="H767">
        <v>651.21</v>
      </c>
      <c r="I767">
        <v>524.96</v>
      </c>
      <c r="J767">
        <v>4447764.3</v>
      </c>
      <c r="K767">
        <v>3585476.8000000003</v>
      </c>
    </row>
    <row r="768" spans="1:11" x14ac:dyDescent="0.35">
      <c r="A768" t="s">
        <v>756</v>
      </c>
      <c r="B768" t="s">
        <v>976</v>
      </c>
      <c r="C768" t="s">
        <v>19</v>
      </c>
      <c r="D768" s="1">
        <v>44310</v>
      </c>
      <c r="E768">
        <v>888108432</v>
      </c>
      <c r="F768" s="1">
        <v>44360</v>
      </c>
      <c r="G768">
        <v>9876</v>
      </c>
      <c r="H768">
        <v>255.28</v>
      </c>
      <c r="I768">
        <v>159.41999999999999</v>
      </c>
      <c r="J768">
        <v>2521145.2799999998</v>
      </c>
      <c r="K768">
        <v>1574431.92</v>
      </c>
    </row>
    <row r="769" spans="1:11" x14ac:dyDescent="0.35">
      <c r="A769" t="s">
        <v>757</v>
      </c>
      <c r="B769" t="s">
        <v>968</v>
      </c>
      <c r="C769" t="s">
        <v>14</v>
      </c>
      <c r="D769" s="1">
        <v>44197</v>
      </c>
      <c r="E769">
        <v>430384099</v>
      </c>
      <c r="F769" s="1">
        <v>44223</v>
      </c>
      <c r="G769">
        <v>9074</v>
      </c>
      <c r="H769">
        <v>152.58000000000001</v>
      </c>
      <c r="I769">
        <v>97.44</v>
      </c>
      <c r="J769">
        <v>1384510.9200000002</v>
      </c>
      <c r="K769">
        <v>884170.55999999994</v>
      </c>
    </row>
    <row r="770" spans="1:11" x14ac:dyDescent="0.35">
      <c r="A770" t="s">
        <v>758</v>
      </c>
      <c r="B770" t="s">
        <v>972</v>
      </c>
      <c r="C770" t="s">
        <v>14</v>
      </c>
      <c r="D770" s="1">
        <v>44470</v>
      </c>
      <c r="E770">
        <v>112364661</v>
      </c>
      <c r="F770" s="1">
        <v>44509</v>
      </c>
      <c r="G770">
        <v>55</v>
      </c>
      <c r="H770">
        <v>205.7</v>
      </c>
      <c r="I770">
        <v>117.11</v>
      </c>
      <c r="J770">
        <v>11313.5</v>
      </c>
      <c r="K770">
        <v>6441.05</v>
      </c>
    </row>
    <row r="771" spans="1:11" x14ac:dyDescent="0.35">
      <c r="A771" t="s">
        <v>616</v>
      </c>
      <c r="B771" t="s">
        <v>990</v>
      </c>
      <c r="C771" t="s">
        <v>14</v>
      </c>
      <c r="D771" s="1">
        <v>44811</v>
      </c>
      <c r="E771">
        <v>310661447</v>
      </c>
      <c r="F771" s="1">
        <v>44812</v>
      </c>
      <c r="G771">
        <v>480</v>
      </c>
      <c r="H771">
        <v>668.27</v>
      </c>
      <c r="I771">
        <v>502.54</v>
      </c>
      <c r="J771">
        <v>320769.59999999998</v>
      </c>
      <c r="K771">
        <v>241219.20000000001</v>
      </c>
    </row>
    <row r="772" spans="1:11" x14ac:dyDescent="0.35">
      <c r="A772" t="s">
        <v>759</v>
      </c>
      <c r="B772" t="s">
        <v>988</v>
      </c>
      <c r="C772" t="s">
        <v>19</v>
      </c>
      <c r="D772" s="1">
        <v>44523</v>
      </c>
      <c r="E772">
        <v>572198283</v>
      </c>
      <c r="F772" s="1">
        <v>44536</v>
      </c>
      <c r="G772">
        <v>5042</v>
      </c>
      <c r="H772">
        <v>109.28</v>
      </c>
      <c r="I772">
        <v>35.840000000000003</v>
      </c>
      <c r="J772">
        <v>550989.76</v>
      </c>
      <c r="K772">
        <v>180705.28000000003</v>
      </c>
    </row>
    <row r="773" spans="1:11" x14ac:dyDescent="0.35">
      <c r="A773" t="s">
        <v>760</v>
      </c>
      <c r="B773" t="s">
        <v>972</v>
      </c>
      <c r="C773" t="s">
        <v>19</v>
      </c>
      <c r="D773" s="1">
        <v>44103</v>
      </c>
      <c r="E773">
        <v>964211499</v>
      </c>
      <c r="F773" s="1">
        <v>44142</v>
      </c>
      <c r="G773">
        <v>464</v>
      </c>
      <c r="H773">
        <v>205.7</v>
      </c>
      <c r="I773">
        <v>117.11</v>
      </c>
      <c r="J773">
        <v>95444.799999999988</v>
      </c>
      <c r="K773">
        <v>54339.040000000001</v>
      </c>
    </row>
    <row r="774" spans="1:11" x14ac:dyDescent="0.35">
      <c r="A774" t="s">
        <v>761</v>
      </c>
      <c r="B774" t="s">
        <v>990</v>
      </c>
      <c r="C774" t="s">
        <v>14</v>
      </c>
      <c r="D774" s="1">
        <v>44716</v>
      </c>
      <c r="E774">
        <v>724249923</v>
      </c>
      <c r="F774" s="1">
        <v>44745</v>
      </c>
      <c r="G774">
        <v>501</v>
      </c>
      <c r="H774">
        <v>668.27</v>
      </c>
      <c r="I774">
        <v>502.54</v>
      </c>
      <c r="J774">
        <v>334803.27</v>
      </c>
      <c r="K774">
        <v>251772.54</v>
      </c>
    </row>
    <row r="775" spans="1:11" x14ac:dyDescent="0.35">
      <c r="A775" t="s">
        <v>762</v>
      </c>
      <c r="B775" t="s">
        <v>976</v>
      </c>
      <c r="C775" t="s">
        <v>12</v>
      </c>
      <c r="D775" s="1">
        <v>44541</v>
      </c>
      <c r="E775">
        <v>510174882</v>
      </c>
      <c r="F775" s="1">
        <v>44542</v>
      </c>
      <c r="G775">
        <v>940</v>
      </c>
      <c r="H775">
        <v>255.28</v>
      </c>
      <c r="I775">
        <v>159.41999999999999</v>
      </c>
      <c r="J775">
        <v>239963.2</v>
      </c>
      <c r="K775">
        <v>149854.79999999999</v>
      </c>
    </row>
    <row r="776" spans="1:11" x14ac:dyDescent="0.35">
      <c r="A776" t="s">
        <v>763</v>
      </c>
      <c r="B776" t="s">
        <v>978</v>
      </c>
      <c r="C776" t="s">
        <v>14</v>
      </c>
      <c r="D776" s="1">
        <v>44515</v>
      </c>
      <c r="E776">
        <v>150160205</v>
      </c>
      <c r="F776" s="1">
        <v>44522</v>
      </c>
      <c r="G776">
        <v>4596</v>
      </c>
      <c r="H776">
        <v>47.45</v>
      </c>
      <c r="I776">
        <v>31.79</v>
      </c>
      <c r="J776">
        <v>218080.2</v>
      </c>
      <c r="K776">
        <v>146106.84</v>
      </c>
    </row>
    <row r="777" spans="1:11" x14ac:dyDescent="0.35">
      <c r="A777" t="s">
        <v>764</v>
      </c>
      <c r="B777" t="s">
        <v>978</v>
      </c>
      <c r="C777" t="s">
        <v>19</v>
      </c>
      <c r="D777" s="1">
        <v>44678</v>
      </c>
      <c r="E777">
        <v>892692220</v>
      </c>
      <c r="F777" s="1">
        <v>44692</v>
      </c>
      <c r="G777">
        <v>6320</v>
      </c>
      <c r="H777">
        <v>47.45</v>
      </c>
      <c r="I777">
        <v>31.79</v>
      </c>
      <c r="J777">
        <v>299884</v>
      </c>
      <c r="K777">
        <v>200912.8</v>
      </c>
    </row>
    <row r="778" spans="1:11" x14ac:dyDescent="0.35">
      <c r="A778" t="s">
        <v>765</v>
      </c>
      <c r="B778" t="s">
        <v>990</v>
      </c>
      <c r="C778" t="s">
        <v>19</v>
      </c>
      <c r="D778" s="1">
        <v>44692</v>
      </c>
      <c r="E778">
        <v>456569755</v>
      </c>
      <c r="F778" s="1">
        <v>44721</v>
      </c>
      <c r="G778">
        <v>7991</v>
      </c>
      <c r="H778">
        <v>668.27</v>
      </c>
      <c r="I778">
        <v>502.54</v>
      </c>
      <c r="J778">
        <v>5340145.57</v>
      </c>
      <c r="K778">
        <v>4015797.14</v>
      </c>
    </row>
    <row r="779" spans="1:11" x14ac:dyDescent="0.35">
      <c r="A779" t="s">
        <v>766</v>
      </c>
      <c r="B779" t="s">
        <v>984</v>
      </c>
      <c r="C779" t="s">
        <v>19</v>
      </c>
      <c r="D779" s="1">
        <v>44370</v>
      </c>
      <c r="E779">
        <v>680904138</v>
      </c>
      <c r="F779" s="1">
        <v>44388</v>
      </c>
      <c r="G779">
        <v>3520</v>
      </c>
      <c r="H779">
        <v>651.21</v>
      </c>
      <c r="I779">
        <v>524.96</v>
      </c>
      <c r="J779">
        <v>2292259.2000000002</v>
      </c>
      <c r="K779">
        <v>1847859.2000000002</v>
      </c>
    </row>
    <row r="780" spans="1:11" x14ac:dyDescent="0.35">
      <c r="A780" t="s">
        <v>767</v>
      </c>
      <c r="B780" t="s">
        <v>990</v>
      </c>
      <c r="C780" t="s">
        <v>19</v>
      </c>
      <c r="D780" s="1">
        <v>44190</v>
      </c>
      <c r="E780">
        <v>775119197</v>
      </c>
      <c r="F780" s="1">
        <v>44229</v>
      </c>
      <c r="G780">
        <v>3850</v>
      </c>
      <c r="H780">
        <v>668.27</v>
      </c>
      <c r="I780">
        <v>502.54</v>
      </c>
      <c r="J780">
        <v>2572839.5</v>
      </c>
      <c r="K780">
        <v>1934779</v>
      </c>
    </row>
    <row r="781" spans="1:11" x14ac:dyDescent="0.35">
      <c r="A781" t="s">
        <v>574</v>
      </c>
      <c r="B781" t="s">
        <v>970</v>
      </c>
      <c r="C781" t="s">
        <v>17</v>
      </c>
      <c r="D781" s="1">
        <v>44780</v>
      </c>
      <c r="E781">
        <v>468951261</v>
      </c>
      <c r="F781" s="1">
        <v>44792</v>
      </c>
      <c r="G781">
        <v>1954</v>
      </c>
      <c r="H781">
        <v>421.89</v>
      </c>
      <c r="I781">
        <v>364.69</v>
      </c>
      <c r="J781">
        <v>824373.05999999994</v>
      </c>
      <c r="K781">
        <v>712604.26</v>
      </c>
    </row>
    <row r="782" spans="1:11" x14ac:dyDescent="0.35">
      <c r="A782" t="s">
        <v>768</v>
      </c>
      <c r="B782" t="s">
        <v>984</v>
      </c>
      <c r="C782" t="s">
        <v>17</v>
      </c>
      <c r="D782" s="1">
        <v>44302</v>
      </c>
      <c r="E782">
        <v>462449157</v>
      </c>
      <c r="F782" s="1">
        <v>44347</v>
      </c>
      <c r="G782">
        <v>7837</v>
      </c>
      <c r="H782">
        <v>651.21</v>
      </c>
      <c r="I782">
        <v>524.96</v>
      </c>
      <c r="J782">
        <v>5103532.7700000005</v>
      </c>
      <c r="K782">
        <v>4114111.5200000005</v>
      </c>
    </row>
    <row r="783" spans="1:11" x14ac:dyDescent="0.35">
      <c r="A783" t="s">
        <v>769</v>
      </c>
      <c r="B783" t="s">
        <v>980</v>
      </c>
      <c r="C783" t="s">
        <v>14</v>
      </c>
      <c r="D783" s="1">
        <v>44199</v>
      </c>
      <c r="E783">
        <v>175974214</v>
      </c>
      <c r="F783" s="1">
        <v>44209</v>
      </c>
      <c r="G783">
        <v>3535</v>
      </c>
      <c r="H783">
        <v>437.2</v>
      </c>
      <c r="I783">
        <v>263.33</v>
      </c>
      <c r="J783">
        <v>1545502</v>
      </c>
      <c r="K783">
        <v>930871.54999999993</v>
      </c>
    </row>
    <row r="784" spans="1:11" x14ac:dyDescent="0.35">
      <c r="A784" t="s">
        <v>770</v>
      </c>
      <c r="B784" t="s">
        <v>980</v>
      </c>
      <c r="C784" t="s">
        <v>17</v>
      </c>
      <c r="D784" s="1">
        <v>44493</v>
      </c>
      <c r="E784">
        <v>900200259</v>
      </c>
      <c r="F784" s="1">
        <v>44510</v>
      </c>
      <c r="G784">
        <v>8116</v>
      </c>
      <c r="H784">
        <v>437.2</v>
      </c>
      <c r="I784">
        <v>263.33</v>
      </c>
      <c r="J784">
        <v>3548315.1999999997</v>
      </c>
      <c r="K784">
        <v>2137186.2799999998</v>
      </c>
    </row>
    <row r="785" spans="1:11" x14ac:dyDescent="0.35">
      <c r="A785" t="s">
        <v>771</v>
      </c>
      <c r="B785" t="s">
        <v>972</v>
      </c>
      <c r="C785" t="s">
        <v>12</v>
      </c>
      <c r="D785" s="1">
        <v>44311</v>
      </c>
      <c r="E785">
        <v>846113622</v>
      </c>
      <c r="F785" s="1">
        <v>44350</v>
      </c>
      <c r="G785">
        <v>2678</v>
      </c>
      <c r="H785">
        <v>205.7</v>
      </c>
      <c r="I785">
        <v>117.11</v>
      </c>
      <c r="J785">
        <v>550864.6</v>
      </c>
      <c r="K785">
        <v>313620.58</v>
      </c>
    </row>
    <row r="786" spans="1:11" x14ac:dyDescent="0.35">
      <c r="A786" t="s">
        <v>772</v>
      </c>
      <c r="B786" t="s">
        <v>976</v>
      </c>
      <c r="C786" t="s">
        <v>14</v>
      </c>
      <c r="D786" s="1">
        <v>44491</v>
      </c>
      <c r="E786">
        <v>995013129</v>
      </c>
      <c r="F786" s="1">
        <v>44527</v>
      </c>
      <c r="G786">
        <v>5351</v>
      </c>
      <c r="H786">
        <v>255.28</v>
      </c>
      <c r="I786">
        <v>159.41999999999999</v>
      </c>
      <c r="J786">
        <v>1366003.28</v>
      </c>
      <c r="K786">
        <v>853056.41999999993</v>
      </c>
    </row>
    <row r="787" spans="1:11" x14ac:dyDescent="0.35">
      <c r="A787" t="s">
        <v>773</v>
      </c>
      <c r="B787" t="s">
        <v>982</v>
      </c>
      <c r="C787" t="s">
        <v>12</v>
      </c>
      <c r="D787" s="1">
        <v>43930</v>
      </c>
      <c r="E787">
        <v>148510110</v>
      </c>
      <c r="F787" s="1">
        <v>43965</v>
      </c>
      <c r="G787">
        <v>6297</v>
      </c>
      <c r="H787">
        <v>81.73</v>
      </c>
      <c r="I787">
        <v>56.67</v>
      </c>
      <c r="J787">
        <v>514653.81</v>
      </c>
      <c r="K787">
        <v>356850.99</v>
      </c>
    </row>
    <row r="788" spans="1:11" x14ac:dyDescent="0.35">
      <c r="A788" t="s">
        <v>774</v>
      </c>
      <c r="B788" t="s">
        <v>988</v>
      </c>
      <c r="C788" t="s">
        <v>19</v>
      </c>
      <c r="D788" s="1">
        <v>44282</v>
      </c>
      <c r="E788">
        <v>778528392</v>
      </c>
      <c r="F788" s="1">
        <v>44330</v>
      </c>
      <c r="G788">
        <v>2707</v>
      </c>
      <c r="H788">
        <v>109.28</v>
      </c>
      <c r="I788">
        <v>35.840000000000003</v>
      </c>
      <c r="J788">
        <v>295820.96000000002</v>
      </c>
      <c r="K788">
        <v>97018.880000000005</v>
      </c>
    </row>
    <row r="789" spans="1:11" x14ac:dyDescent="0.35">
      <c r="A789" t="s">
        <v>775</v>
      </c>
      <c r="B789" t="s">
        <v>978</v>
      </c>
      <c r="C789" t="s">
        <v>19</v>
      </c>
      <c r="D789" s="1">
        <v>44218</v>
      </c>
      <c r="E789">
        <v>477304303</v>
      </c>
      <c r="F789" s="1">
        <v>44219</v>
      </c>
      <c r="G789">
        <v>3805</v>
      </c>
      <c r="H789">
        <v>47.45</v>
      </c>
      <c r="I789">
        <v>31.79</v>
      </c>
      <c r="J789">
        <v>180547.25</v>
      </c>
      <c r="K789">
        <v>120960.95</v>
      </c>
    </row>
    <row r="790" spans="1:11" x14ac:dyDescent="0.35">
      <c r="A790" t="s">
        <v>776</v>
      </c>
      <c r="B790" t="s">
        <v>968</v>
      </c>
      <c r="C790" t="s">
        <v>14</v>
      </c>
      <c r="D790" s="1">
        <v>44117</v>
      </c>
      <c r="E790">
        <v>507386672</v>
      </c>
      <c r="F790" s="1">
        <v>44126</v>
      </c>
      <c r="G790">
        <v>5846</v>
      </c>
      <c r="H790">
        <v>152.58000000000001</v>
      </c>
      <c r="I790">
        <v>97.44</v>
      </c>
      <c r="J790">
        <v>891982.68</v>
      </c>
      <c r="K790">
        <v>569634.24</v>
      </c>
    </row>
    <row r="791" spans="1:11" x14ac:dyDescent="0.35">
      <c r="A791" t="s">
        <v>777</v>
      </c>
      <c r="B791" t="s">
        <v>968</v>
      </c>
      <c r="C791" t="s">
        <v>12</v>
      </c>
      <c r="D791" s="1">
        <v>44510</v>
      </c>
      <c r="E791">
        <v>851636826</v>
      </c>
      <c r="F791" s="1">
        <v>44510</v>
      </c>
      <c r="G791">
        <v>7117</v>
      </c>
      <c r="H791">
        <v>152.58000000000001</v>
      </c>
      <c r="I791">
        <v>97.44</v>
      </c>
      <c r="J791">
        <v>1085911.8600000001</v>
      </c>
      <c r="K791">
        <v>693480.48</v>
      </c>
    </row>
    <row r="792" spans="1:11" x14ac:dyDescent="0.35">
      <c r="A792" t="s">
        <v>273</v>
      </c>
      <c r="B792" t="s">
        <v>970</v>
      </c>
      <c r="C792" t="s">
        <v>14</v>
      </c>
      <c r="D792" s="1">
        <v>44504</v>
      </c>
      <c r="E792">
        <v>663228595</v>
      </c>
      <c r="F792" s="1">
        <v>44545</v>
      </c>
      <c r="G792">
        <v>2934</v>
      </c>
      <c r="H792">
        <v>421.89</v>
      </c>
      <c r="I792">
        <v>364.69</v>
      </c>
      <c r="J792">
        <v>1237825.26</v>
      </c>
      <c r="K792">
        <v>1070000.46</v>
      </c>
    </row>
    <row r="793" spans="1:11" x14ac:dyDescent="0.35">
      <c r="A793" t="s">
        <v>778</v>
      </c>
      <c r="B793" t="s">
        <v>972</v>
      </c>
      <c r="C793" t="s">
        <v>17</v>
      </c>
      <c r="D793" s="1">
        <v>44402</v>
      </c>
      <c r="E793">
        <v>515648305</v>
      </c>
      <c r="F793" s="1">
        <v>44411</v>
      </c>
      <c r="G793">
        <v>647</v>
      </c>
      <c r="H793">
        <v>205.7</v>
      </c>
      <c r="I793">
        <v>117.11</v>
      </c>
      <c r="J793">
        <v>133087.9</v>
      </c>
      <c r="K793">
        <v>75770.17</v>
      </c>
    </row>
    <row r="794" spans="1:11" x14ac:dyDescent="0.35">
      <c r="A794" t="s">
        <v>779</v>
      </c>
      <c r="B794" t="s">
        <v>978</v>
      </c>
      <c r="C794" t="s">
        <v>14</v>
      </c>
      <c r="D794" s="1">
        <v>44127</v>
      </c>
      <c r="E794">
        <v>152694785</v>
      </c>
      <c r="F794" s="1">
        <v>44151</v>
      </c>
      <c r="G794">
        <v>4635</v>
      </c>
      <c r="H794">
        <v>47.45</v>
      </c>
      <c r="I794">
        <v>31.79</v>
      </c>
      <c r="J794">
        <v>219930.75</v>
      </c>
      <c r="K794">
        <v>147346.65</v>
      </c>
    </row>
    <row r="795" spans="1:11" x14ac:dyDescent="0.35">
      <c r="A795" t="s">
        <v>780</v>
      </c>
      <c r="B795" t="s">
        <v>972</v>
      </c>
      <c r="C795" t="s">
        <v>14</v>
      </c>
      <c r="D795" s="1">
        <v>44796</v>
      </c>
      <c r="E795">
        <v>738479363</v>
      </c>
      <c r="F795" s="1">
        <v>44811</v>
      </c>
      <c r="G795">
        <v>1309</v>
      </c>
      <c r="H795">
        <v>205.7</v>
      </c>
      <c r="I795">
        <v>117.11</v>
      </c>
      <c r="J795">
        <v>269261.3</v>
      </c>
      <c r="K795">
        <v>153296.99</v>
      </c>
    </row>
    <row r="796" spans="1:11" x14ac:dyDescent="0.35">
      <c r="A796" t="s">
        <v>781</v>
      </c>
      <c r="B796" t="s">
        <v>968</v>
      </c>
      <c r="C796" t="s">
        <v>19</v>
      </c>
      <c r="D796" s="1">
        <v>44017</v>
      </c>
      <c r="E796">
        <v>807425868</v>
      </c>
      <c r="F796" s="1">
        <v>44019</v>
      </c>
      <c r="G796">
        <v>4112</v>
      </c>
      <c r="H796">
        <v>152.58000000000001</v>
      </c>
      <c r="I796">
        <v>97.44</v>
      </c>
      <c r="J796">
        <v>627408.96000000008</v>
      </c>
      <c r="K796">
        <v>400673.27999999997</v>
      </c>
    </row>
    <row r="797" spans="1:11" x14ac:dyDescent="0.35">
      <c r="A797" t="s">
        <v>782</v>
      </c>
      <c r="B797" t="s">
        <v>978</v>
      </c>
      <c r="C797" t="s">
        <v>12</v>
      </c>
      <c r="D797" s="1">
        <v>44766</v>
      </c>
      <c r="E797">
        <v>314270627</v>
      </c>
      <c r="F797" s="1">
        <v>44785</v>
      </c>
      <c r="G797">
        <v>8517</v>
      </c>
      <c r="H797">
        <v>47.45</v>
      </c>
      <c r="I797">
        <v>31.79</v>
      </c>
      <c r="J797">
        <v>404131.65</v>
      </c>
      <c r="K797">
        <v>270755.43</v>
      </c>
    </row>
    <row r="798" spans="1:11" x14ac:dyDescent="0.35">
      <c r="A798" t="s">
        <v>783</v>
      </c>
      <c r="B798" t="s">
        <v>990</v>
      </c>
      <c r="C798" t="s">
        <v>17</v>
      </c>
      <c r="D798" s="1">
        <v>44423</v>
      </c>
      <c r="E798">
        <v>184062469</v>
      </c>
      <c r="F798" s="1">
        <v>44459</v>
      </c>
      <c r="G798">
        <v>7030</v>
      </c>
      <c r="H798">
        <v>668.27</v>
      </c>
      <c r="I798">
        <v>502.54</v>
      </c>
      <c r="J798">
        <v>4697938.0999999996</v>
      </c>
      <c r="K798">
        <v>3532856.2</v>
      </c>
    </row>
    <row r="799" spans="1:11" x14ac:dyDescent="0.35">
      <c r="A799" t="s">
        <v>784</v>
      </c>
      <c r="B799" t="s">
        <v>982</v>
      </c>
      <c r="C799" t="s">
        <v>17</v>
      </c>
      <c r="D799" s="1">
        <v>44691</v>
      </c>
      <c r="E799">
        <v>962162721</v>
      </c>
      <c r="F799" s="1">
        <v>44727</v>
      </c>
      <c r="G799">
        <v>4185</v>
      </c>
      <c r="H799">
        <v>81.73</v>
      </c>
      <c r="I799">
        <v>56.67</v>
      </c>
      <c r="J799">
        <v>342040.05</v>
      </c>
      <c r="K799">
        <v>237163.95</v>
      </c>
    </row>
    <row r="800" spans="1:11" x14ac:dyDescent="0.35">
      <c r="A800" t="s">
        <v>785</v>
      </c>
      <c r="B800" t="s">
        <v>988</v>
      </c>
      <c r="C800" t="s">
        <v>12</v>
      </c>
      <c r="D800" s="1">
        <v>44811</v>
      </c>
      <c r="E800">
        <v>564245212</v>
      </c>
      <c r="F800" s="1">
        <v>44853</v>
      </c>
      <c r="G800">
        <v>1552</v>
      </c>
      <c r="H800">
        <v>109.28</v>
      </c>
      <c r="I800">
        <v>35.840000000000003</v>
      </c>
      <c r="J800">
        <v>169602.56</v>
      </c>
      <c r="K800">
        <v>55623.680000000008</v>
      </c>
    </row>
    <row r="801" spans="1:11" x14ac:dyDescent="0.35">
      <c r="A801" t="s">
        <v>786</v>
      </c>
      <c r="B801" t="s">
        <v>990</v>
      </c>
      <c r="C801" t="s">
        <v>19</v>
      </c>
      <c r="D801" s="1">
        <v>44168</v>
      </c>
      <c r="E801">
        <v>126296269</v>
      </c>
      <c r="F801" s="1">
        <v>44208</v>
      </c>
      <c r="G801">
        <v>2728</v>
      </c>
      <c r="H801">
        <v>668.27</v>
      </c>
      <c r="I801">
        <v>502.54</v>
      </c>
      <c r="J801">
        <v>1823040.56</v>
      </c>
      <c r="K801">
        <v>1370929.12</v>
      </c>
    </row>
    <row r="802" spans="1:11" x14ac:dyDescent="0.35">
      <c r="A802" t="s">
        <v>787</v>
      </c>
      <c r="B802" t="s">
        <v>980</v>
      </c>
      <c r="C802" t="s">
        <v>17</v>
      </c>
      <c r="D802" s="1">
        <v>43863</v>
      </c>
      <c r="E802">
        <v>854614722</v>
      </c>
      <c r="F802" s="1">
        <v>43866</v>
      </c>
      <c r="G802">
        <v>8343</v>
      </c>
      <c r="H802">
        <v>437.2</v>
      </c>
      <c r="I802">
        <v>263.33</v>
      </c>
      <c r="J802">
        <v>3647559.6</v>
      </c>
      <c r="K802">
        <v>2196962.19</v>
      </c>
    </row>
    <row r="803" spans="1:11" x14ac:dyDescent="0.35">
      <c r="A803" t="s">
        <v>788</v>
      </c>
      <c r="B803" t="s">
        <v>982</v>
      </c>
      <c r="C803" t="s">
        <v>14</v>
      </c>
      <c r="D803" s="1">
        <v>44097</v>
      </c>
      <c r="E803">
        <v>875811898</v>
      </c>
      <c r="F803" s="1">
        <v>44117</v>
      </c>
      <c r="G803">
        <v>1058</v>
      </c>
      <c r="H803">
        <v>81.73</v>
      </c>
      <c r="I803">
        <v>56.67</v>
      </c>
      <c r="J803">
        <v>86470.340000000011</v>
      </c>
      <c r="K803">
        <v>59956.86</v>
      </c>
    </row>
    <row r="804" spans="1:11" x14ac:dyDescent="0.35">
      <c r="A804" t="s">
        <v>789</v>
      </c>
      <c r="B804" t="s">
        <v>982</v>
      </c>
      <c r="C804" t="s">
        <v>12</v>
      </c>
      <c r="D804" s="1">
        <v>44699</v>
      </c>
      <c r="E804">
        <v>186811625</v>
      </c>
      <c r="F804" s="1">
        <v>44715</v>
      </c>
      <c r="G804">
        <v>566</v>
      </c>
      <c r="H804">
        <v>81.73</v>
      </c>
      <c r="I804">
        <v>56.67</v>
      </c>
      <c r="J804">
        <v>46259.18</v>
      </c>
      <c r="K804">
        <v>32075.22</v>
      </c>
    </row>
    <row r="805" spans="1:11" x14ac:dyDescent="0.35">
      <c r="A805" t="s">
        <v>790</v>
      </c>
      <c r="B805" t="s">
        <v>970</v>
      </c>
      <c r="C805" t="s">
        <v>12</v>
      </c>
      <c r="D805" s="1">
        <v>44598</v>
      </c>
      <c r="E805">
        <v>204850232</v>
      </c>
      <c r="F805" s="1">
        <v>44626</v>
      </c>
      <c r="G805">
        <v>8591</v>
      </c>
      <c r="H805">
        <v>421.89</v>
      </c>
      <c r="I805">
        <v>364.69</v>
      </c>
      <c r="J805">
        <v>3624456.9899999998</v>
      </c>
      <c r="K805">
        <v>3133051.79</v>
      </c>
    </row>
    <row r="806" spans="1:11" x14ac:dyDescent="0.35">
      <c r="A806" t="s">
        <v>791</v>
      </c>
      <c r="B806" t="s">
        <v>990</v>
      </c>
      <c r="C806" t="s">
        <v>12</v>
      </c>
      <c r="D806" s="1">
        <v>44436</v>
      </c>
      <c r="E806">
        <v>617476546</v>
      </c>
      <c r="F806" s="1">
        <v>44472</v>
      </c>
      <c r="G806">
        <v>3887</v>
      </c>
      <c r="H806">
        <v>668.27</v>
      </c>
      <c r="I806">
        <v>502.54</v>
      </c>
      <c r="J806">
        <v>2597565.4899999998</v>
      </c>
      <c r="K806">
        <v>1953372.98</v>
      </c>
    </row>
    <row r="807" spans="1:11" x14ac:dyDescent="0.35">
      <c r="A807" t="s">
        <v>792</v>
      </c>
      <c r="B807" t="s">
        <v>974</v>
      </c>
      <c r="C807" t="s">
        <v>12</v>
      </c>
      <c r="D807" s="1">
        <v>43960</v>
      </c>
      <c r="E807">
        <v>732551896</v>
      </c>
      <c r="F807" s="1">
        <v>43987</v>
      </c>
      <c r="G807">
        <v>7240</v>
      </c>
      <c r="H807">
        <v>9.33</v>
      </c>
      <c r="I807">
        <v>6.92</v>
      </c>
      <c r="J807">
        <v>67549.2</v>
      </c>
      <c r="K807">
        <v>50100.800000000003</v>
      </c>
    </row>
    <row r="808" spans="1:11" x14ac:dyDescent="0.35">
      <c r="A808" t="s">
        <v>44</v>
      </c>
      <c r="B808" t="s">
        <v>982</v>
      </c>
      <c r="C808" t="s">
        <v>14</v>
      </c>
      <c r="D808" s="1">
        <v>44628</v>
      </c>
      <c r="E808">
        <v>828250110</v>
      </c>
      <c r="F808" s="1">
        <v>44661</v>
      </c>
      <c r="G808">
        <v>6468</v>
      </c>
      <c r="H808">
        <v>81.73</v>
      </c>
      <c r="I808">
        <v>56.67</v>
      </c>
      <c r="J808">
        <v>528629.64</v>
      </c>
      <c r="K808">
        <v>366541.56</v>
      </c>
    </row>
    <row r="809" spans="1:11" x14ac:dyDescent="0.35">
      <c r="A809" t="s">
        <v>793</v>
      </c>
      <c r="B809" t="s">
        <v>982</v>
      </c>
      <c r="C809" t="s">
        <v>19</v>
      </c>
      <c r="D809" s="1">
        <v>43869</v>
      </c>
      <c r="E809">
        <v>803057515</v>
      </c>
      <c r="F809" s="1">
        <v>43912</v>
      </c>
      <c r="G809">
        <v>1419</v>
      </c>
      <c r="H809">
        <v>81.73</v>
      </c>
      <c r="I809">
        <v>56.67</v>
      </c>
      <c r="J809">
        <v>115974.87000000001</v>
      </c>
      <c r="K809">
        <v>80414.73</v>
      </c>
    </row>
    <row r="810" spans="1:11" x14ac:dyDescent="0.35">
      <c r="A810" t="s">
        <v>794</v>
      </c>
      <c r="B810" t="s">
        <v>984</v>
      </c>
      <c r="C810" t="s">
        <v>19</v>
      </c>
      <c r="D810" s="1">
        <v>43958</v>
      </c>
      <c r="E810">
        <v>625772941</v>
      </c>
      <c r="F810" s="1">
        <v>43997</v>
      </c>
      <c r="G810">
        <v>8974</v>
      </c>
      <c r="H810">
        <v>651.21</v>
      </c>
      <c r="I810">
        <v>524.96</v>
      </c>
      <c r="J810">
        <v>5843958.54</v>
      </c>
      <c r="K810">
        <v>4710991.04</v>
      </c>
    </row>
    <row r="811" spans="1:11" x14ac:dyDescent="0.35">
      <c r="A811" t="s">
        <v>795</v>
      </c>
      <c r="B811" t="s">
        <v>968</v>
      </c>
      <c r="C811" t="s">
        <v>14</v>
      </c>
      <c r="D811" s="1">
        <v>44182</v>
      </c>
      <c r="E811">
        <v>785507714</v>
      </c>
      <c r="F811" s="1">
        <v>44196</v>
      </c>
      <c r="G811">
        <v>8043</v>
      </c>
      <c r="H811">
        <v>152.58000000000001</v>
      </c>
      <c r="I811">
        <v>97.44</v>
      </c>
      <c r="J811">
        <v>1227200.9400000002</v>
      </c>
      <c r="K811">
        <v>783709.91999999993</v>
      </c>
    </row>
    <row r="812" spans="1:11" x14ac:dyDescent="0.35">
      <c r="A812" t="s">
        <v>796</v>
      </c>
      <c r="B812" t="s">
        <v>978</v>
      </c>
      <c r="C812" t="s">
        <v>12</v>
      </c>
      <c r="D812" s="1">
        <v>44501</v>
      </c>
      <c r="E812">
        <v>941685664</v>
      </c>
      <c r="F812" s="1">
        <v>44551</v>
      </c>
      <c r="G812">
        <v>4569</v>
      </c>
      <c r="H812">
        <v>47.45</v>
      </c>
      <c r="I812">
        <v>31.79</v>
      </c>
      <c r="J812">
        <v>216799.05000000002</v>
      </c>
      <c r="K812">
        <v>145248.51</v>
      </c>
    </row>
    <row r="813" spans="1:11" x14ac:dyDescent="0.35">
      <c r="A813" t="s">
        <v>797</v>
      </c>
      <c r="B813" t="s">
        <v>974</v>
      </c>
      <c r="C813" t="s">
        <v>19</v>
      </c>
      <c r="D813" s="1">
        <v>43973</v>
      </c>
      <c r="E813">
        <v>374043118</v>
      </c>
      <c r="F813" s="1">
        <v>44014</v>
      </c>
      <c r="G813">
        <v>6526</v>
      </c>
      <c r="H813">
        <v>9.33</v>
      </c>
      <c r="I813">
        <v>6.92</v>
      </c>
      <c r="J813">
        <v>60887.58</v>
      </c>
      <c r="K813">
        <v>45159.92</v>
      </c>
    </row>
    <row r="814" spans="1:11" x14ac:dyDescent="0.35">
      <c r="A814" t="s">
        <v>16</v>
      </c>
      <c r="B814" t="s">
        <v>982</v>
      </c>
      <c r="C814" t="s">
        <v>19</v>
      </c>
      <c r="D814" s="1">
        <v>44418</v>
      </c>
      <c r="E814">
        <v>232628905</v>
      </c>
      <c r="F814" s="1">
        <v>44440</v>
      </c>
      <c r="G814">
        <v>8917</v>
      </c>
      <c r="H814">
        <v>81.73</v>
      </c>
      <c r="I814">
        <v>56.67</v>
      </c>
      <c r="J814">
        <v>728786.41</v>
      </c>
      <c r="K814">
        <v>505326.39</v>
      </c>
    </row>
    <row r="815" spans="1:11" x14ac:dyDescent="0.35">
      <c r="A815" t="s">
        <v>798</v>
      </c>
      <c r="B815" t="s">
        <v>982</v>
      </c>
      <c r="C815" t="s">
        <v>17</v>
      </c>
      <c r="D815" s="1">
        <v>44666</v>
      </c>
      <c r="E815">
        <v>387804353</v>
      </c>
      <c r="F815" s="1">
        <v>44704</v>
      </c>
      <c r="G815">
        <v>8781</v>
      </c>
      <c r="H815">
        <v>81.73</v>
      </c>
      <c r="I815">
        <v>56.67</v>
      </c>
      <c r="J815">
        <v>717671.13</v>
      </c>
      <c r="K815">
        <v>497619.27</v>
      </c>
    </row>
    <row r="816" spans="1:11" x14ac:dyDescent="0.35">
      <c r="A816" t="s">
        <v>799</v>
      </c>
      <c r="B816" t="s">
        <v>988</v>
      </c>
      <c r="C816" t="s">
        <v>12</v>
      </c>
      <c r="D816" s="1">
        <v>44219</v>
      </c>
      <c r="E816">
        <v>780243289</v>
      </c>
      <c r="F816" s="1">
        <v>44244</v>
      </c>
      <c r="G816">
        <v>183</v>
      </c>
      <c r="H816">
        <v>109.28</v>
      </c>
      <c r="I816">
        <v>35.840000000000003</v>
      </c>
      <c r="J816">
        <v>19998.240000000002</v>
      </c>
      <c r="K816">
        <v>6558.72</v>
      </c>
    </row>
    <row r="817" spans="1:11" x14ac:dyDescent="0.35">
      <c r="A817" t="s">
        <v>800</v>
      </c>
      <c r="B817" t="s">
        <v>982</v>
      </c>
      <c r="C817" t="s">
        <v>19</v>
      </c>
      <c r="D817" s="1">
        <v>44812</v>
      </c>
      <c r="E817">
        <v>970932042</v>
      </c>
      <c r="F817" s="1">
        <v>44843</v>
      </c>
      <c r="G817">
        <v>9222</v>
      </c>
      <c r="H817">
        <v>81.73</v>
      </c>
      <c r="I817">
        <v>56.67</v>
      </c>
      <c r="J817">
        <v>753714.06</v>
      </c>
      <c r="K817">
        <v>522610.74</v>
      </c>
    </row>
    <row r="818" spans="1:11" x14ac:dyDescent="0.35">
      <c r="A818" t="s">
        <v>559</v>
      </c>
      <c r="B818" t="s">
        <v>970</v>
      </c>
      <c r="C818" t="s">
        <v>14</v>
      </c>
      <c r="D818" s="1">
        <v>44674</v>
      </c>
      <c r="E818">
        <v>591169440</v>
      </c>
      <c r="F818" s="1">
        <v>44716</v>
      </c>
      <c r="G818">
        <v>9029</v>
      </c>
      <c r="H818">
        <v>421.89</v>
      </c>
      <c r="I818">
        <v>364.69</v>
      </c>
      <c r="J818">
        <v>3809244.81</v>
      </c>
      <c r="K818">
        <v>3292786.01</v>
      </c>
    </row>
    <row r="819" spans="1:11" x14ac:dyDescent="0.35">
      <c r="A819" t="s">
        <v>801</v>
      </c>
      <c r="B819" t="s">
        <v>990</v>
      </c>
      <c r="C819" t="s">
        <v>17</v>
      </c>
      <c r="D819" s="1">
        <v>44269</v>
      </c>
      <c r="E819">
        <v>692566812</v>
      </c>
      <c r="F819" s="1">
        <v>44276</v>
      </c>
      <c r="G819">
        <v>4765</v>
      </c>
      <c r="H819">
        <v>668.27</v>
      </c>
      <c r="I819">
        <v>502.54</v>
      </c>
      <c r="J819">
        <v>3184306.55</v>
      </c>
      <c r="K819">
        <v>2394603.1</v>
      </c>
    </row>
    <row r="820" spans="1:11" x14ac:dyDescent="0.35">
      <c r="A820" t="s">
        <v>802</v>
      </c>
      <c r="B820" t="s">
        <v>984</v>
      </c>
      <c r="C820" t="s">
        <v>17</v>
      </c>
      <c r="D820" s="1">
        <v>44728</v>
      </c>
      <c r="E820">
        <v>597047984</v>
      </c>
      <c r="F820" s="1">
        <v>44744</v>
      </c>
      <c r="G820">
        <v>8621</v>
      </c>
      <c r="H820">
        <v>651.21</v>
      </c>
      <c r="I820">
        <v>524.96</v>
      </c>
      <c r="J820">
        <v>5614081.4100000001</v>
      </c>
      <c r="K820">
        <v>4525680.16</v>
      </c>
    </row>
    <row r="821" spans="1:11" x14ac:dyDescent="0.35">
      <c r="A821" t="s">
        <v>803</v>
      </c>
      <c r="B821" t="s">
        <v>978</v>
      </c>
      <c r="C821" t="s">
        <v>14</v>
      </c>
      <c r="D821" s="1">
        <v>44199</v>
      </c>
      <c r="E821">
        <v>146849286</v>
      </c>
      <c r="F821" s="1">
        <v>44219</v>
      </c>
      <c r="G821">
        <v>4822</v>
      </c>
      <c r="H821">
        <v>47.45</v>
      </c>
      <c r="I821">
        <v>31.79</v>
      </c>
      <c r="J821">
        <v>228803.90000000002</v>
      </c>
      <c r="K821">
        <v>153291.38</v>
      </c>
    </row>
    <row r="822" spans="1:11" x14ac:dyDescent="0.35">
      <c r="A822" t="s">
        <v>804</v>
      </c>
      <c r="B822" t="s">
        <v>974</v>
      </c>
      <c r="C822" t="s">
        <v>14</v>
      </c>
      <c r="D822" s="1">
        <v>44629</v>
      </c>
      <c r="E822">
        <v>154519546</v>
      </c>
      <c r="F822" s="1">
        <v>44635</v>
      </c>
      <c r="G822">
        <v>4622</v>
      </c>
      <c r="H822">
        <v>9.33</v>
      </c>
      <c r="I822">
        <v>6.92</v>
      </c>
      <c r="J822">
        <v>43123.26</v>
      </c>
      <c r="K822">
        <v>31984.239999999998</v>
      </c>
    </row>
    <row r="823" spans="1:11" x14ac:dyDescent="0.35">
      <c r="A823" t="s">
        <v>805</v>
      </c>
      <c r="B823" t="s">
        <v>974</v>
      </c>
      <c r="C823" t="s">
        <v>12</v>
      </c>
      <c r="D823" s="1">
        <v>43937</v>
      </c>
      <c r="E823">
        <v>152920091</v>
      </c>
      <c r="F823" s="1">
        <v>43968</v>
      </c>
      <c r="G823">
        <v>1308</v>
      </c>
      <c r="H823">
        <v>9.33</v>
      </c>
      <c r="I823">
        <v>6.92</v>
      </c>
      <c r="J823">
        <v>12203.64</v>
      </c>
      <c r="K823">
        <v>9051.36</v>
      </c>
    </row>
    <row r="824" spans="1:11" x14ac:dyDescent="0.35">
      <c r="A824" t="s">
        <v>806</v>
      </c>
      <c r="B824" t="s">
        <v>972</v>
      </c>
      <c r="C824" t="s">
        <v>12</v>
      </c>
      <c r="D824" s="1">
        <v>43843</v>
      </c>
      <c r="E824">
        <v>645224750</v>
      </c>
      <c r="F824" s="1">
        <v>43875</v>
      </c>
      <c r="G824">
        <v>5197</v>
      </c>
      <c r="H824">
        <v>205.7</v>
      </c>
      <c r="I824">
        <v>117.11</v>
      </c>
      <c r="J824">
        <v>1069022.8999999999</v>
      </c>
      <c r="K824">
        <v>608620.67000000004</v>
      </c>
    </row>
    <row r="825" spans="1:11" x14ac:dyDescent="0.35">
      <c r="A825" t="s">
        <v>807</v>
      </c>
      <c r="B825" t="s">
        <v>984</v>
      </c>
      <c r="C825" t="s">
        <v>12</v>
      </c>
      <c r="D825" s="1">
        <v>44124</v>
      </c>
      <c r="E825">
        <v>854919850</v>
      </c>
      <c r="F825" s="1">
        <v>44140</v>
      </c>
      <c r="G825">
        <v>8637</v>
      </c>
      <c r="H825">
        <v>651.21</v>
      </c>
      <c r="I825">
        <v>524.96</v>
      </c>
      <c r="J825">
        <v>5624500.7700000005</v>
      </c>
      <c r="K825">
        <v>4534079.5200000005</v>
      </c>
    </row>
    <row r="826" spans="1:11" x14ac:dyDescent="0.35">
      <c r="A826" t="s">
        <v>808</v>
      </c>
      <c r="B826" t="s">
        <v>972</v>
      </c>
      <c r="C826" t="s">
        <v>12</v>
      </c>
      <c r="D826" s="1">
        <v>44184</v>
      </c>
      <c r="E826">
        <v>975804221</v>
      </c>
      <c r="F826" s="1">
        <v>44209</v>
      </c>
      <c r="G826">
        <v>1008</v>
      </c>
      <c r="H826">
        <v>205.7</v>
      </c>
      <c r="I826">
        <v>117.11</v>
      </c>
      <c r="J826">
        <v>207345.59999999998</v>
      </c>
      <c r="K826">
        <v>118046.88</v>
      </c>
    </row>
    <row r="827" spans="1:11" x14ac:dyDescent="0.35">
      <c r="A827" t="s">
        <v>739</v>
      </c>
      <c r="B827" t="s">
        <v>990</v>
      </c>
      <c r="C827" t="s">
        <v>17</v>
      </c>
      <c r="D827" s="1">
        <v>44617</v>
      </c>
      <c r="E827">
        <v>821989190</v>
      </c>
      <c r="F827" s="1">
        <v>44631</v>
      </c>
      <c r="G827">
        <v>3723</v>
      </c>
      <c r="H827">
        <v>668.27</v>
      </c>
      <c r="I827">
        <v>502.54</v>
      </c>
      <c r="J827">
        <v>2487969.21</v>
      </c>
      <c r="K827">
        <v>1870956.4200000002</v>
      </c>
    </row>
    <row r="828" spans="1:11" x14ac:dyDescent="0.35">
      <c r="A828" t="s">
        <v>809</v>
      </c>
      <c r="B828" t="s">
        <v>976</v>
      </c>
      <c r="C828" t="s">
        <v>17</v>
      </c>
      <c r="D828" s="1">
        <v>44597</v>
      </c>
      <c r="E828">
        <v>277898585</v>
      </c>
      <c r="F828" s="1">
        <v>44626</v>
      </c>
      <c r="G828">
        <v>5222</v>
      </c>
      <c r="H828">
        <v>255.28</v>
      </c>
      <c r="I828">
        <v>159.41999999999999</v>
      </c>
      <c r="J828">
        <v>1333072.1599999999</v>
      </c>
      <c r="K828">
        <v>832491.24</v>
      </c>
    </row>
    <row r="829" spans="1:11" x14ac:dyDescent="0.35">
      <c r="A829" t="s">
        <v>810</v>
      </c>
      <c r="B829" t="s">
        <v>986</v>
      </c>
      <c r="C829" t="s">
        <v>17</v>
      </c>
      <c r="D829" s="1">
        <v>44490</v>
      </c>
      <c r="E829">
        <v>648268735</v>
      </c>
      <c r="F829" s="1">
        <v>44517</v>
      </c>
      <c r="G829">
        <v>5979</v>
      </c>
      <c r="H829">
        <v>154.06</v>
      </c>
      <c r="I829">
        <v>90.93</v>
      </c>
      <c r="J829">
        <v>921124.74</v>
      </c>
      <c r="K829">
        <v>543670.47000000009</v>
      </c>
    </row>
    <row r="830" spans="1:11" x14ac:dyDescent="0.35">
      <c r="A830" t="s">
        <v>747</v>
      </c>
      <c r="B830" t="s">
        <v>974</v>
      </c>
      <c r="C830" t="s">
        <v>12</v>
      </c>
      <c r="D830" s="1">
        <v>44286</v>
      </c>
      <c r="E830">
        <v>608148467</v>
      </c>
      <c r="F830" s="1">
        <v>44289</v>
      </c>
      <c r="G830">
        <v>3501</v>
      </c>
      <c r="H830">
        <v>9.33</v>
      </c>
      <c r="I830">
        <v>6.92</v>
      </c>
      <c r="J830">
        <v>32664.33</v>
      </c>
      <c r="K830">
        <v>24226.92</v>
      </c>
    </row>
    <row r="831" spans="1:11" x14ac:dyDescent="0.35">
      <c r="A831" t="s">
        <v>811</v>
      </c>
      <c r="B831" t="s">
        <v>972</v>
      </c>
      <c r="C831" t="s">
        <v>17</v>
      </c>
      <c r="D831" s="1">
        <v>44123</v>
      </c>
      <c r="E831">
        <v>252899110</v>
      </c>
      <c r="F831" s="1">
        <v>44140</v>
      </c>
      <c r="G831">
        <v>7321</v>
      </c>
      <c r="H831">
        <v>205.7</v>
      </c>
      <c r="I831">
        <v>117.11</v>
      </c>
      <c r="J831">
        <v>1505929.7</v>
      </c>
      <c r="K831">
        <v>857362.30999999994</v>
      </c>
    </row>
    <row r="832" spans="1:11" x14ac:dyDescent="0.35">
      <c r="A832" t="s">
        <v>812</v>
      </c>
      <c r="B832" t="s">
        <v>974</v>
      </c>
      <c r="C832" t="s">
        <v>14</v>
      </c>
      <c r="D832" s="1">
        <v>44805</v>
      </c>
      <c r="E832">
        <v>648194491</v>
      </c>
      <c r="F832" s="1">
        <v>44821</v>
      </c>
      <c r="G832">
        <v>4009</v>
      </c>
      <c r="H832">
        <v>9.33</v>
      </c>
      <c r="I832">
        <v>6.92</v>
      </c>
      <c r="J832">
        <v>37403.97</v>
      </c>
      <c r="K832">
        <v>27742.28</v>
      </c>
    </row>
    <row r="833" spans="1:11" x14ac:dyDescent="0.35">
      <c r="A833" t="s">
        <v>813</v>
      </c>
      <c r="B833" t="s">
        <v>968</v>
      </c>
      <c r="C833" t="s">
        <v>14</v>
      </c>
      <c r="D833" s="1">
        <v>44155</v>
      </c>
      <c r="E833">
        <v>680020940</v>
      </c>
      <c r="F833" s="1">
        <v>44166</v>
      </c>
      <c r="G833">
        <v>2163</v>
      </c>
      <c r="H833">
        <v>152.58000000000001</v>
      </c>
      <c r="I833">
        <v>97.44</v>
      </c>
      <c r="J833">
        <v>330030.54000000004</v>
      </c>
      <c r="K833">
        <v>210762.72</v>
      </c>
    </row>
    <row r="834" spans="1:11" x14ac:dyDescent="0.35">
      <c r="A834" t="s">
        <v>814</v>
      </c>
      <c r="B834" t="s">
        <v>976</v>
      </c>
      <c r="C834" t="s">
        <v>12</v>
      </c>
      <c r="D834" s="1">
        <v>44837</v>
      </c>
      <c r="E834">
        <v>204677283</v>
      </c>
      <c r="F834" s="1">
        <v>44837</v>
      </c>
      <c r="G834">
        <v>7411</v>
      </c>
      <c r="H834">
        <v>255.28</v>
      </c>
      <c r="I834">
        <v>159.41999999999999</v>
      </c>
      <c r="J834">
        <v>1891880.08</v>
      </c>
      <c r="K834">
        <v>1181461.6199999999</v>
      </c>
    </row>
    <row r="835" spans="1:11" x14ac:dyDescent="0.35">
      <c r="A835" t="s">
        <v>815</v>
      </c>
      <c r="B835" t="s">
        <v>988</v>
      </c>
      <c r="C835" t="s">
        <v>19</v>
      </c>
      <c r="D835" s="1">
        <v>44444</v>
      </c>
      <c r="E835">
        <v>498774850</v>
      </c>
      <c r="F835" s="1">
        <v>44491</v>
      </c>
      <c r="G835">
        <v>7417</v>
      </c>
      <c r="H835">
        <v>109.28</v>
      </c>
      <c r="I835">
        <v>35.840000000000003</v>
      </c>
      <c r="J835">
        <v>810529.76</v>
      </c>
      <c r="K835">
        <v>265825.28000000003</v>
      </c>
    </row>
    <row r="836" spans="1:11" x14ac:dyDescent="0.35">
      <c r="A836" t="s">
        <v>816</v>
      </c>
      <c r="B836" t="s">
        <v>974</v>
      </c>
      <c r="C836" t="s">
        <v>14</v>
      </c>
      <c r="D836" s="1">
        <v>44369</v>
      </c>
      <c r="E836">
        <v>209237468</v>
      </c>
      <c r="F836" s="1">
        <v>44369</v>
      </c>
      <c r="G836">
        <v>6871</v>
      </c>
      <c r="H836">
        <v>9.33</v>
      </c>
      <c r="I836">
        <v>6.92</v>
      </c>
      <c r="J836">
        <v>64106.43</v>
      </c>
      <c r="K836">
        <v>47547.32</v>
      </c>
    </row>
    <row r="837" spans="1:11" x14ac:dyDescent="0.35">
      <c r="A837" t="s">
        <v>817</v>
      </c>
      <c r="B837" t="s">
        <v>980</v>
      </c>
      <c r="C837" t="s">
        <v>12</v>
      </c>
      <c r="D837" s="1">
        <v>44065</v>
      </c>
      <c r="E837">
        <v>303301465</v>
      </c>
      <c r="F837" s="1">
        <v>44090</v>
      </c>
      <c r="G837">
        <v>2498</v>
      </c>
      <c r="H837">
        <v>437.2</v>
      </c>
      <c r="I837">
        <v>263.33</v>
      </c>
      <c r="J837">
        <v>1092125.5999999999</v>
      </c>
      <c r="K837">
        <v>657798.34</v>
      </c>
    </row>
    <row r="838" spans="1:11" x14ac:dyDescent="0.35">
      <c r="A838" t="s">
        <v>818</v>
      </c>
      <c r="B838" t="s">
        <v>970</v>
      </c>
      <c r="C838" t="s">
        <v>14</v>
      </c>
      <c r="D838" s="1">
        <v>44695</v>
      </c>
      <c r="E838">
        <v>918515670</v>
      </c>
      <c r="F838" s="1">
        <v>44719</v>
      </c>
      <c r="G838">
        <v>8053</v>
      </c>
      <c r="H838">
        <v>421.89</v>
      </c>
      <c r="I838">
        <v>364.69</v>
      </c>
      <c r="J838">
        <v>3397480.17</v>
      </c>
      <c r="K838">
        <v>2936848.57</v>
      </c>
    </row>
    <row r="839" spans="1:11" x14ac:dyDescent="0.35">
      <c r="A839" t="s">
        <v>819</v>
      </c>
      <c r="B839" t="s">
        <v>968</v>
      </c>
      <c r="C839" t="s">
        <v>17</v>
      </c>
      <c r="D839" s="1">
        <v>44440</v>
      </c>
      <c r="E839">
        <v>912741410</v>
      </c>
      <c r="F839" s="1">
        <v>44450</v>
      </c>
      <c r="G839">
        <v>9321</v>
      </c>
      <c r="H839">
        <v>152.58000000000001</v>
      </c>
      <c r="I839">
        <v>97.44</v>
      </c>
      <c r="J839">
        <v>1422198.1800000002</v>
      </c>
      <c r="K839">
        <v>908238.24</v>
      </c>
    </row>
    <row r="840" spans="1:11" x14ac:dyDescent="0.35">
      <c r="A840" t="s">
        <v>820</v>
      </c>
      <c r="B840" t="s">
        <v>972</v>
      </c>
      <c r="C840" t="s">
        <v>17</v>
      </c>
      <c r="D840" s="1">
        <v>44236</v>
      </c>
      <c r="E840">
        <v>114152514</v>
      </c>
      <c r="F840" s="1">
        <v>44276</v>
      </c>
      <c r="G840">
        <v>9121</v>
      </c>
      <c r="H840">
        <v>205.7</v>
      </c>
      <c r="I840">
        <v>117.11</v>
      </c>
      <c r="J840">
        <v>1876189.7</v>
      </c>
      <c r="K840">
        <v>1068160.31</v>
      </c>
    </row>
    <row r="841" spans="1:11" x14ac:dyDescent="0.35">
      <c r="A841" t="s">
        <v>821</v>
      </c>
      <c r="B841" t="s">
        <v>982</v>
      </c>
      <c r="C841" t="s">
        <v>17</v>
      </c>
      <c r="D841" s="1">
        <v>44122</v>
      </c>
      <c r="E841">
        <v>671235311</v>
      </c>
      <c r="F841" s="1">
        <v>44150</v>
      </c>
      <c r="G841">
        <v>2300</v>
      </c>
      <c r="H841">
        <v>81.73</v>
      </c>
      <c r="I841">
        <v>56.67</v>
      </c>
      <c r="J841">
        <v>187979</v>
      </c>
      <c r="K841">
        <v>130341</v>
      </c>
    </row>
    <row r="842" spans="1:11" x14ac:dyDescent="0.35">
      <c r="A842" t="s">
        <v>822</v>
      </c>
      <c r="B842" t="s">
        <v>976</v>
      </c>
      <c r="C842" t="s">
        <v>19</v>
      </c>
      <c r="D842" s="1">
        <v>44806</v>
      </c>
      <c r="E842">
        <v>302788627</v>
      </c>
      <c r="F842" s="1">
        <v>44837</v>
      </c>
      <c r="G842">
        <v>738</v>
      </c>
      <c r="H842">
        <v>255.28</v>
      </c>
      <c r="I842">
        <v>159.41999999999999</v>
      </c>
      <c r="J842">
        <v>188396.64</v>
      </c>
      <c r="K842">
        <v>117651.95999999999</v>
      </c>
    </row>
    <row r="843" spans="1:11" x14ac:dyDescent="0.35">
      <c r="A843" t="s">
        <v>823</v>
      </c>
      <c r="B843" t="s">
        <v>982</v>
      </c>
      <c r="C843" t="s">
        <v>19</v>
      </c>
      <c r="D843" s="1">
        <v>44011</v>
      </c>
      <c r="E843">
        <v>847923791</v>
      </c>
      <c r="F843" s="1">
        <v>44028</v>
      </c>
      <c r="G843">
        <v>8347</v>
      </c>
      <c r="H843">
        <v>81.73</v>
      </c>
      <c r="I843">
        <v>56.67</v>
      </c>
      <c r="J843">
        <v>682200.31</v>
      </c>
      <c r="K843">
        <v>473024.49</v>
      </c>
    </row>
    <row r="844" spans="1:11" x14ac:dyDescent="0.35">
      <c r="A844" t="s">
        <v>824</v>
      </c>
      <c r="B844" t="s">
        <v>976</v>
      </c>
      <c r="C844" t="s">
        <v>14</v>
      </c>
      <c r="D844" s="1">
        <v>44306</v>
      </c>
      <c r="E844">
        <v>616064631</v>
      </c>
      <c r="F844" s="1">
        <v>44348</v>
      </c>
      <c r="G844">
        <v>6070</v>
      </c>
      <c r="H844">
        <v>255.28</v>
      </c>
      <c r="I844">
        <v>159.41999999999999</v>
      </c>
      <c r="J844">
        <v>1549549.6</v>
      </c>
      <c r="K844">
        <v>967679.39999999991</v>
      </c>
    </row>
    <row r="845" spans="1:11" x14ac:dyDescent="0.35">
      <c r="A845" t="s">
        <v>825</v>
      </c>
      <c r="B845" t="s">
        <v>974</v>
      </c>
      <c r="C845" t="s">
        <v>19</v>
      </c>
      <c r="D845" s="1">
        <v>44228</v>
      </c>
      <c r="E845">
        <v>236947476</v>
      </c>
      <c r="F845" s="1">
        <v>44255</v>
      </c>
      <c r="G845">
        <v>6879</v>
      </c>
      <c r="H845">
        <v>9.33</v>
      </c>
      <c r="I845">
        <v>6.92</v>
      </c>
      <c r="J845">
        <v>64181.07</v>
      </c>
      <c r="K845">
        <v>47602.68</v>
      </c>
    </row>
    <row r="846" spans="1:11" x14ac:dyDescent="0.35">
      <c r="A846" t="s">
        <v>826</v>
      </c>
      <c r="B846" t="s">
        <v>990</v>
      </c>
      <c r="C846" t="s">
        <v>14</v>
      </c>
      <c r="D846" s="1">
        <v>44028</v>
      </c>
      <c r="E846">
        <v>410621154</v>
      </c>
      <c r="F846" s="1">
        <v>44058</v>
      </c>
      <c r="G846">
        <v>779</v>
      </c>
      <c r="H846">
        <v>668.27</v>
      </c>
      <c r="I846">
        <v>502.54</v>
      </c>
      <c r="J846">
        <v>520582.32999999996</v>
      </c>
      <c r="K846">
        <v>391478.66000000003</v>
      </c>
    </row>
    <row r="847" spans="1:11" x14ac:dyDescent="0.35">
      <c r="A847" t="s">
        <v>827</v>
      </c>
      <c r="B847" t="s">
        <v>974</v>
      </c>
      <c r="C847" t="s">
        <v>17</v>
      </c>
      <c r="D847" s="1">
        <v>44105</v>
      </c>
      <c r="E847">
        <v>557446992</v>
      </c>
      <c r="F847" s="1">
        <v>44128</v>
      </c>
      <c r="G847">
        <v>9807</v>
      </c>
      <c r="H847">
        <v>9.33</v>
      </c>
      <c r="I847">
        <v>6.92</v>
      </c>
      <c r="J847">
        <v>91499.31</v>
      </c>
      <c r="K847">
        <v>67864.44</v>
      </c>
    </row>
    <row r="848" spans="1:11" x14ac:dyDescent="0.35">
      <c r="A848" t="s">
        <v>828</v>
      </c>
      <c r="B848" t="s">
        <v>980</v>
      </c>
      <c r="C848" t="s">
        <v>14</v>
      </c>
      <c r="D848" s="1">
        <v>44482</v>
      </c>
      <c r="E848">
        <v>168098819</v>
      </c>
      <c r="F848" s="1">
        <v>44497</v>
      </c>
      <c r="G848">
        <v>3031</v>
      </c>
      <c r="H848">
        <v>437.2</v>
      </c>
      <c r="I848">
        <v>263.33</v>
      </c>
      <c r="J848">
        <v>1325153.2</v>
      </c>
      <c r="K848">
        <v>798153.23</v>
      </c>
    </row>
    <row r="849" spans="1:11" x14ac:dyDescent="0.35">
      <c r="A849" t="s">
        <v>829</v>
      </c>
      <c r="B849" t="s">
        <v>986</v>
      </c>
      <c r="C849" t="s">
        <v>14</v>
      </c>
      <c r="D849" s="1">
        <v>44285</v>
      </c>
      <c r="E849">
        <v>153562963</v>
      </c>
      <c r="F849" s="1">
        <v>44315</v>
      </c>
      <c r="G849">
        <v>1548</v>
      </c>
      <c r="H849">
        <v>154.06</v>
      </c>
      <c r="I849">
        <v>90.93</v>
      </c>
      <c r="J849">
        <v>238484.88</v>
      </c>
      <c r="K849">
        <v>140759.64000000001</v>
      </c>
    </row>
    <row r="850" spans="1:11" x14ac:dyDescent="0.35">
      <c r="A850" t="s">
        <v>830</v>
      </c>
      <c r="B850" t="s">
        <v>988</v>
      </c>
      <c r="C850" t="s">
        <v>17</v>
      </c>
      <c r="D850" s="1">
        <v>44352</v>
      </c>
      <c r="E850">
        <v>595138251</v>
      </c>
      <c r="F850" s="1">
        <v>44381</v>
      </c>
      <c r="G850">
        <v>3489</v>
      </c>
      <c r="H850">
        <v>109.28</v>
      </c>
      <c r="I850">
        <v>35.840000000000003</v>
      </c>
      <c r="J850">
        <v>381277.92</v>
      </c>
      <c r="K850">
        <v>125045.76000000001</v>
      </c>
    </row>
    <row r="851" spans="1:11" x14ac:dyDescent="0.35">
      <c r="A851" t="s">
        <v>831</v>
      </c>
      <c r="B851" t="s">
        <v>976</v>
      </c>
      <c r="C851" t="s">
        <v>17</v>
      </c>
      <c r="D851" s="1">
        <v>44624</v>
      </c>
      <c r="E851">
        <v>294436013</v>
      </c>
      <c r="F851" s="1">
        <v>44662</v>
      </c>
      <c r="G851">
        <v>9014</v>
      </c>
      <c r="H851">
        <v>255.28</v>
      </c>
      <c r="I851">
        <v>159.41999999999999</v>
      </c>
      <c r="J851">
        <v>2301093.92</v>
      </c>
      <c r="K851">
        <v>1437011.88</v>
      </c>
    </row>
    <row r="852" spans="1:11" x14ac:dyDescent="0.35">
      <c r="A852" t="s">
        <v>832</v>
      </c>
      <c r="B852" t="s">
        <v>976</v>
      </c>
      <c r="C852" t="s">
        <v>12</v>
      </c>
      <c r="D852" s="1">
        <v>44667</v>
      </c>
      <c r="E852">
        <v>823380076</v>
      </c>
      <c r="F852" s="1">
        <v>44684</v>
      </c>
      <c r="G852">
        <v>5317</v>
      </c>
      <c r="H852">
        <v>255.28</v>
      </c>
      <c r="I852">
        <v>159.41999999999999</v>
      </c>
      <c r="J852">
        <v>1357323.76</v>
      </c>
      <c r="K852">
        <v>847636.1399999999</v>
      </c>
    </row>
    <row r="853" spans="1:11" x14ac:dyDescent="0.35">
      <c r="A853" t="s">
        <v>833</v>
      </c>
      <c r="B853" t="s">
        <v>974</v>
      </c>
      <c r="C853" t="s">
        <v>14</v>
      </c>
      <c r="D853" s="1">
        <v>44196</v>
      </c>
      <c r="E853">
        <v>674206769</v>
      </c>
      <c r="F853" s="1">
        <v>44242</v>
      </c>
      <c r="G853">
        <v>1620</v>
      </c>
      <c r="H853">
        <v>9.33</v>
      </c>
      <c r="I853">
        <v>6.92</v>
      </c>
      <c r="J853">
        <v>15114.6</v>
      </c>
      <c r="K853">
        <v>11210.4</v>
      </c>
    </row>
    <row r="854" spans="1:11" x14ac:dyDescent="0.35">
      <c r="A854" t="s">
        <v>834</v>
      </c>
      <c r="B854" t="s">
        <v>984</v>
      </c>
      <c r="C854" t="s">
        <v>14</v>
      </c>
      <c r="D854" s="1">
        <v>44635</v>
      </c>
      <c r="E854">
        <v>209464919</v>
      </c>
      <c r="F854" s="1">
        <v>44671</v>
      </c>
      <c r="G854">
        <v>4179</v>
      </c>
      <c r="H854">
        <v>651.21</v>
      </c>
      <c r="I854">
        <v>524.96</v>
      </c>
      <c r="J854">
        <v>2721406.5900000003</v>
      </c>
      <c r="K854">
        <v>2193807.8400000003</v>
      </c>
    </row>
    <row r="855" spans="1:11" x14ac:dyDescent="0.35">
      <c r="A855" t="s">
        <v>835</v>
      </c>
      <c r="B855" t="s">
        <v>976</v>
      </c>
      <c r="C855" t="s">
        <v>14</v>
      </c>
      <c r="D855" s="1">
        <v>44425</v>
      </c>
      <c r="E855">
        <v>312015855</v>
      </c>
      <c r="F855" s="1">
        <v>44442</v>
      </c>
      <c r="G855">
        <v>1280</v>
      </c>
      <c r="H855">
        <v>255.28</v>
      </c>
      <c r="I855">
        <v>159.41999999999999</v>
      </c>
      <c r="J855">
        <v>326758.40000000002</v>
      </c>
      <c r="K855">
        <v>204057.59999999998</v>
      </c>
    </row>
    <row r="856" spans="1:11" x14ac:dyDescent="0.35">
      <c r="A856" t="s">
        <v>836</v>
      </c>
      <c r="B856" t="s">
        <v>970</v>
      </c>
      <c r="C856" t="s">
        <v>17</v>
      </c>
      <c r="D856" s="1">
        <v>44763</v>
      </c>
      <c r="E856">
        <v>135033404</v>
      </c>
      <c r="F856" s="1">
        <v>44768</v>
      </c>
      <c r="G856">
        <v>8240</v>
      </c>
      <c r="H856">
        <v>421.89</v>
      </c>
      <c r="I856">
        <v>364.69</v>
      </c>
      <c r="J856">
        <v>3476373.6</v>
      </c>
      <c r="K856">
        <v>3005045.6</v>
      </c>
    </row>
    <row r="857" spans="1:11" x14ac:dyDescent="0.35">
      <c r="A857" t="s">
        <v>837</v>
      </c>
      <c r="B857" t="s">
        <v>976</v>
      </c>
      <c r="C857" t="s">
        <v>19</v>
      </c>
      <c r="D857" s="1">
        <v>43862</v>
      </c>
      <c r="E857">
        <v>252003896</v>
      </c>
      <c r="F857" s="1">
        <v>43892</v>
      </c>
      <c r="G857">
        <v>2408</v>
      </c>
      <c r="H857">
        <v>255.28</v>
      </c>
      <c r="I857">
        <v>159.41999999999999</v>
      </c>
      <c r="J857">
        <v>614714.24</v>
      </c>
      <c r="K857">
        <v>383883.36</v>
      </c>
    </row>
    <row r="858" spans="1:11" x14ac:dyDescent="0.35">
      <c r="A858" t="s">
        <v>838</v>
      </c>
      <c r="B858" t="s">
        <v>976</v>
      </c>
      <c r="C858" t="s">
        <v>14</v>
      </c>
      <c r="D858" s="1">
        <v>44779</v>
      </c>
      <c r="E858">
        <v>406726157</v>
      </c>
      <c r="F858" s="1">
        <v>44786</v>
      </c>
      <c r="G858">
        <v>8163</v>
      </c>
      <c r="H858">
        <v>255.28</v>
      </c>
      <c r="I858">
        <v>159.41999999999999</v>
      </c>
      <c r="J858">
        <v>2083850.64</v>
      </c>
      <c r="K858">
        <v>1301345.46</v>
      </c>
    </row>
    <row r="859" spans="1:11" x14ac:dyDescent="0.35">
      <c r="A859" t="s">
        <v>302</v>
      </c>
      <c r="B859" t="s">
        <v>982</v>
      </c>
      <c r="C859" t="s">
        <v>19</v>
      </c>
      <c r="D859" s="1">
        <v>44454</v>
      </c>
      <c r="E859">
        <v>863311517</v>
      </c>
      <c r="F859" s="1">
        <v>44475</v>
      </c>
      <c r="G859">
        <v>1917</v>
      </c>
      <c r="H859">
        <v>81.73</v>
      </c>
      <c r="I859">
        <v>56.67</v>
      </c>
      <c r="J859">
        <v>156676.41</v>
      </c>
      <c r="K859">
        <v>108636.39</v>
      </c>
    </row>
    <row r="860" spans="1:11" x14ac:dyDescent="0.35">
      <c r="A860" t="s">
        <v>839</v>
      </c>
      <c r="B860" t="s">
        <v>978</v>
      </c>
      <c r="C860" t="s">
        <v>12</v>
      </c>
      <c r="D860" s="1">
        <v>44671</v>
      </c>
      <c r="E860">
        <v>156183803</v>
      </c>
      <c r="F860" s="1">
        <v>44709</v>
      </c>
      <c r="G860">
        <v>7113</v>
      </c>
      <c r="H860">
        <v>47.45</v>
      </c>
      <c r="I860">
        <v>31.79</v>
      </c>
      <c r="J860">
        <v>337511.85000000003</v>
      </c>
      <c r="K860">
        <v>226122.27</v>
      </c>
    </row>
    <row r="861" spans="1:11" x14ac:dyDescent="0.35">
      <c r="A861" t="s">
        <v>840</v>
      </c>
      <c r="B861" t="s">
        <v>978</v>
      </c>
      <c r="C861" t="s">
        <v>17</v>
      </c>
      <c r="D861" s="1">
        <v>44230</v>
      </c>
      <c r="E861">
        <v>940079343</v>
      </c>
      <c r="F861" s="1">
        <v>44272</v>
      </c>
      <c r="G861">
        <v>9223</v>
      </c>
      <c r="H861">
        <v>47.45</v>
      </c>
      <c r="I861">
        <v>31.79</v>
      </c>
      <c r="J861">
        <v>437631.35000000003</v>
      </c>
      <c r="K861">
        <v>293199.17</v>
      </c>
    </row>
    <row r="862" spans="1:11" x14ac:dyDescent="0.35">
      <c r="A862" t="s">
        <v>841</v>
      </c>
      <c r="B862" t="s">
        <v>990</v>
      </c>
      <c r="C862" t="s">
        <v>14</v>
      </c>
      <c r="D862" s="1">
        <v>44688</v>
      </c>
      <c r="E862">
        <v>540046966</v>
      </c>
      <c r="F862" s="1">
        <v>44690</v>
      </c>
      <c r="G862">
        <v>753</v>
      </c>
      <c r="H862">
        <v>668.27</v>
      </c>
      <c r="I862">
        <v>502.54</v>
      </c>
      <c r="J862">
        <v>503207.31</v>
      </c>
      <c r="K862">
        <v>378412.62</v>
      </c>
    </row>
    <row r="863" spans="1:11" x14ac:dyDescent="0.35">
      <c r="A863" t="s">
        <v>842</v>
      </c>
      <c r="B863" t="s">
        <v>978</v>
      </c>
      <c r="C863" t="s">
        <v>19</v>
      </c>
      <c r="D863" s="1">
        <v>44614</v>
      </c>
      <c r="E863">
        <v>401447999</v>
      </c>
      <c r="F863" s="1">
        <v>44619</v>
      </c>
      <c r="G863">
        <v>6239</v>
      </c>
      <c r="H863">
        <v>47.45</v>
      </c>
      <c r="I863">
        <v>31.79</v>
      </c>
      <c r="J863">
        <v>296040.55000000005</v>
      </c>
      <c r="K863">
        <v>198337.81</v>
      </c>
    </row>
    <row r="864" spans="1:11" x14ac:dyDescent="0.35">
      <c r="A864" t="s">
        <v>843</v>
      </c>
      <c r="B864" t="s">
        <v>982</v>
      </c>
      <c r="C864" t="s">
        <v>14</v>
      </c>
      <c r="D864" s="1">
        <v>44294</v>
      </c>
      <c r="E864">
        <v>239956271</v>
      </c>
      <c r="F864" s="1">
        <v>44316</v>
      </c>
      <c r="G864">
        <v>7248</v>
      </c>
      <c r="H864">
        <v>81.73</v>
      </c>
      <c r="I864">
        <v>56.67</v>
      </c>
      <c r="J864">
        <v>592379.04</v>
      </c>
      <c r="K864">
        <v>410744.16000000003</v>
      </c>
    </row>
    <row r="865" spans="1:11" x14ac:dyDescent="0.35">
      <c r="A865" t="s">
        <v>844</v>
      </c>
      <c r="B865" t="s">
        <v>974</v>
      </c>
      <c r="C865" t="s">
        <v>19</v>
      </c>
      <c r="D865" s="1">
        <v>44158</v>
      </c>
      <c r="E865">
        <v>291558110</v>
      </c>
      <c r="F865" s="1">
        <v>44197</v>
      </c>
      <c r="G865">
        <v>7379</v>
      </c>
      <c r="H865">
        <v>9.33</v>
      </c>
      <c r="I865">
        <v>6.92</v>
      </c>
      <c r="J865">
        <v>68846.070000000007</v>
      </c>
      <c r="K865">
        <v>51062.68</v>
      </c>
    </row>
    <row r="866" spans="1:11" x14ac:dyDescent="0.35">
      <c r="A866" t="s">
        <v>845</v>
      </c>
      <c r="B866" t="s">
        <v>990</v>
      </c>
      <c r="C866" t="s">
        <v>12</v>
      </c>
      <c r="D866" s="1">
        <v>44262</v>
      </c>
      <c r="E866">
        <v>862552344</v>
      </c>
      <c r="F866" s="1">
        <v>44291</v>
      </c>
      <c r="G866">
        <v>7261</v>
      </c>
      <c r="H866">
        <v>668.27</v>
      </c>
      <c r="I866">
        <v>502.54</v>
      </c>
      <c r="J866">
        <v>4852308.47</v>
      </c>
      <c r="K866">
        <v>3648942.94</v>
      </c>
    </row>
    <row r="867" spans="1:11" x14ac:dyDescent="0.35">
      <c r="A867" t="s">
        <v>846</v>
      </c>
      <c r="B867" t="s">
        <v>974</v>
      </c>
      <c r="C867" t="s">
        <v>12</v>
      </c>
      <c r="D867" s="1">
        <v>44807</v>
      </c>
      <c r="E867">
        <v>979550302</v>
      </c>
      <c r="F867" s="1">
        <v>44837</v>
      </c>
      <c r="G867">
        <v>9557</v>
      </c>
      <c r="H867">
        <v>9.33</v>
      </c>
      <c r="I867">
        <v>6.92</v>
      </c>
      <c r="J867">
        <v>89166.81</v>
      </c>
      <c r="K867">
        <v>66134.44</v>
      </c>
    </row>
    <row r="868" spans="1:11" x14ac:dyDescent="0.35">
      <c r="A868" t="s">
        <v>847</v>
      </c>
      <c r="B868" t="s">
        <v>990</v>
      </c>
      <c r="C868" t="s">
        <v>14</v>
      </c>
      <c r="D868" s="1">
        <v>44578</v>
      </c>
      <c r="E868">
        <v>639475810</v>
      </c>
      <c r="F868" s="1">
        <v>44595</v>
      </c>
      <c r="G868">
        <v>3958</v>
      </c>
      <c r="H868">
        <v>668.27</v>
      </c>
      <c r="I868">
        <v>502.54</v>
      </c>
      <c r="J868">
        <v>2645012.66</v>
      </c>
      <c r="K868">
        <v>1989053.32</v>
      </c>
    </row>
    <row r="869" spans="1:11" x14ac:dyDescent="0.35">
      <c r="A869" t="s">
        <v>848</v>
      </c>
      <c r="B869" t="s">
        <v>972</v>
      </c>
      <c r="C869" t="s">
        <v>14</v>
      </c>
      <c r="D869" s="1">
        <v>44592</v>
      </c>
      <c r="E869">
        <v>359565198</v>
      </c>
      <c r="F869" s="1">
        <v>44621</v>
      </c>
      <c r="G869">
        <v>2187</v>
      </c>
      <c r="H869">
        <v>205.7</v>
      </c>
      <c r="I869">
        <v>117.11</v>
      </c>
      <c r="J869">
        <v>449865.89999999997</v>
      </c>
      <c r="K869">
        <v>256119.57</v>
      </c>
    </row>
    <row r="870" spans="1:11" x14ac:dyDescent="0.35">
      <c r="A870" t="s">
        <v>849</v>
      </c>
      <c r="B870" t="s">
        <v>972</v>
      </c>
      <c r="C870" t="s">
        <v>17</v>
      </c>
      <c r="D870" s="1">
        <v>44448</v>
      </c>
      <c r="E870">
        <v>727367293</v>
      </c>
      <c r="F870" s="1">
        <v>44492</v>
      </c>
      <c r="G870">
        <v>3001</v>
      </c>
      <c r="H870">
        <v>205.7</v>
      </c>
      <c r="I870">
        <v>117.11</v>
      </c>
      <c r="J870">
        <v>617305.69999999995</v>
      </c>
      <c r="K870">
        <v>351447.11</v>
      </c>
    </row>
    <row r="871" spans="1:11" x14ac:dyDescent="0.35">
      <c r="A871" t="s">
        <v>850</v>
      </c>
      <c r="B871" t="s">
        <v>988</v>
      </c>
      <c r="C871" t="s">
        <v>19</v>
      </c>
      <c r="D871" s="1">
        <v>43892</v>
      </c>
      <c r="E871">
        <v>150743424</v>
      </c>
      <c r="F871" s="1">
        <v>43892</v>
      </c>
      <c r="G871">
        <v>7184</v>
      </c>
      <c r="H871">
        <v>109.28</v>
      </c>
      <c r="I871">
        <v>35.840000000000003</v>
      </c>
      <c r="J871">
        <v>785067.52000000002</v>
      </c>
      <c r="K871">
        <v>257474.56000000003</v>
      </c>
    </row>
    <row r="872" spans="1:11" x14ac:dyDescent="0.35">
      <c r="A872" t="s">
        <v>851</v>
      </c>
      <c r="B872" t="s">
        <v>986</v>
      </c>
      <c r="C872" t="s">
        <v>14</v>
      </c>
      <c r="D872" s="1">
        <v>44381</v>
      </c>
      <c r="E872">
        <v>707867419</v>
      </c>
      <c r="F872" s="1">
        <v>44410</v>
      </c>
      <c r="G872">
        <v>2555</v>
      </c>
      <c r="H872">
        <v>154.06</v>
      </c>
      <c r="I872">
        <v>90.93</v>
      </c>
      <c r="J872">
        <v>393623.3</v>
      </c>
      <c r="K872">
        <v>232326.15000000002</v>
      </c>
    </row>
    <row r="873" spans="1:11" x14ac:dyDescent="0.35">
      <c r="A873" t="s">
        <v>852</v>
      </c>
      <c r="B873" t="s">
        <v>968</v>
      </c>
      <c r="C873" t="s">
        <v>14</v>
      </c>
      <c r="D873" s="1">
        <v>44390</v>
      </c>
      <c r="E873">
        <v>497225606</v>
      </c>
      <c r="F873" s="1">
        <v>44410</v>
      </c>
      <c r="G873">
        <v>8961</v>
      </c>
      <c r="H873">
        <v>152.58000000000001</v>
      </c>
      <c r="I873">
        <v>97.44</v>
      </c>
      <c r="J873">
        <v>1367269.3800000001</v>
      </c>
      <c r="K873">
        <v>873159.84</v>
      </c>
    </row>
    <row r="874" spans="1:11" x14ac:dyDescent="0.35">
      <c r="A874" t="s">
        <v>853</v>
      </c>
      <c r="B874" t="s">
        <v>986</v>
      </c>
      <c r="C874" t="s">
        <v>14</v>
      </c>
      <c r="D874" s="1">
        <v>44104</v>
      </c>
      <c r="E874">
        <v>387616813</v>
      </c>
      <c r="F874" s="1">
        <v>44109</v>
      </c>
      <c r="G874">
        <v>3283</v>
      </c>
      <c r="H874">
        <v>154.06</v>
      </c>
      <c r="I874">
        <v>90.93</v>
      </c>
      <c r="J874">
        <v>505778.98</v>
      </c>
      <c r="K874">
        <v>298523.19</v>
      </c>
    </row>
    <row r="875" spans="1:11" x14ac:dyDescent="0.35">
      <c r="A875" t="s">
        <v>854</v>
      </c>
      <c r="B875" t="s">
        <v>990</v>
      </c>
      <c r="C875" t="s">
        <v>17</v>
      </c>
      <c r="D875" s="1">
        <v>43857</v>
      </c>
      <c r="E875">
        <v>868152368</v>
      </c>
      <c r="F875" s="1">
        <v>43884</v>
      </c>
      <c r="G875">
        <v>4433</v>
      </c>
      <c r="H875">
        <v>668.27</v>
      </c>
      <c r="I875">
        <v>502.54</v>
      </c>
      <c r="J875">
        <v>2962440.91</v>
      </c>
      <c r="K875">
        <v>2227759.8200000003</v>
      </c>
    </row>
    <row r="876" spans="1:11" x14ac:dyDescent="0.35">
      <c r="A876" t="s">
        <v>855</v>
      </c>
      <c r="B876" t="s">
        <v>968</v>
      </c>
      <c r="C876" t="s">
        <v>14</v>
      </c>
      <c r="D876" s="1">
        <v>44649</v>
      </c>
      <c r="E876">
        <v>698256099</v>
      </c>
      <c r="F876" s="1">
        <v>44665</v>
      </c>
      <c r="G876">
        <v>8351</v>
      </c>
      <c r="H876">
        <v>152.58000000000001</v>
      </c>
      <c r="I876">
        <v>97.44</v>
      </c>
      <c r="J876">
        <v>1274195.58</v>
      </c>
      <c r="K876">
        <v>813721.44</v>
      </c>
    </row>
    <row r="877" spans="1:11" x14ac:dyDescent="0.35">
      <c r="A877" t="s">
        <v>856</v>
      </c>
      <c r="B877" t="s">
        <v>970</v>
      </c>
      <c r="C877" t="s">
        <v>17</v>
      </c>
      <c r="D877" s="1">
        <v>44498</v>
      </c>
      <c r="E877">
        <v>957664334</v>
      </c>
      <c r="F877" s="1">
        <v>44518</v>
      </c>
      <c r="G877">
        <v>3013</v>
      </c>
      <c r="H877">
        <v>421.89</v>
      </c>
      <c r="I877">
        <v>364.69</v>
      </c>
      <c r="J877">
        <v>1271154.57</v>
      </c>
      <c r="K877">
        <v>1098810.97</v>
      </c>
    </row>
    <row r="878" spans="1:11" x14ac:dyDescent="0.35">
      <c r="A878" t="s">
        <v>857</v>
      </c>
      <c r="B878" t="s">
        <v>984</v>
      </c>
      <c r="C878" t="s">
        <v>17</v>
      </c>
      <c r="D878" s="1">
        <v>44177</v>
      </c>
      <c r="E878">
        <v>996425902</v>
      </c>
      <c r="F878" s="1">
        <v>44198</v>
      </c>
      <c r="G878">
        <v>3422</v>
      </c>
      <c r="H878">
        <v>651.21</v>
      </c>
      <c r="I878">
        <v>524.96</v>
      </c>
      <c r="J878">
        <v>2228440.62</v>
      </c>
      <c r="K878">
        <v>1796413.12</v>
      </c>
    </row>
    <row r="879" spans="1:11" x14ac:dyDescent="0.35">
      <c r="A879" t="s">
        <v>858</v>
      </c>
      <c r="B879" t="s">
        <v>980</v>
      </c>
      <c r="C879" t="s">
        <v>12</v>
      </c>
      <c r="D879" s="1">
        <v>44605</v>
      </c>
      <c r="E879">
        <v>684902131</v>
      </c>
      <c r="F879" s="1">
        <v>44620</v>
      </c>
      <c r="G879">
        <v>6615</v>
      </c>
      <c r="H879">
        <v>437.2</v>
      </c>
      <c r="I879">
        <v>263.33</v>
      </c>
      <c r="J879">
        <v>2892078</v>
      </c>
      <c r="K879">
        <v>1741927.95</v>
      </c>
    </row>
    <row r="880" spans="1:11" x14ac:dyDescent="0.35">
      <c r="A880" t="s">
        <v>859</v>
      </c>
      <c r="B880" t="s">
        <v>984</v>
      </c>
      <c r="C880" t="s">
        <v>14</v>
      </c>
      <c r="D880" s="1">
        <v>44241</v>
      </c>
      <c r="E880">
        <v>863766849</v>
      </c>
      <c r="F880" s="1">
        <v>44279</v>
      </c>
      <c r="G880">
        <v>6660</v>
      </c>
      <c r="H880">
        <v>651.21</v>
      </c>
      <c r="I880">
        <v>524.96</v>
      </c>
      <c r="J880">
        <v>4337058.6000000006</v>
      </c>
      <c r="K880">
        <v>3496233.6</v>
      </c>
    </row>
    <row r="881" spans="1:11" x14ac:dyDescent="0.35">
      <c r="A881" t="s">
        <v>860</v>
      </c>
      <c r="B881" t="s">
        <v>984</v>
      </c>
      <c r="C881" t="s">
        <v>19</v>
      </c>
      <c r="D881" s="1">
        <v>44819</v>
      </c>
      <c r="E881">
        <v>194006383</v>
      </c>
      <c r="F881" s="1">
        <v>44856</v>
      </c>
      <c r="G881">
        <v>9655</v>
      </c>
      <c r="H881">
        <v>651.21</v>
      </c>
      <c r="I881">
        <v>524.96</v>
      </c>
      <c r="J881">
        <v>6287432.5500000007</v>
      </c>
      <c r="K881">
        <v>5068488.8000000007</v>
      </c>
    </row>
    <row r="882" spans="1:11" x14ac:dyDescent="0.35">
      <c r="A882" t="s">
        <v>678</v>
      </c>
      <c r="B882" t="s">
        <v>988</v>
      </c>
      <c r="C882" t="s">
        <v>14</v>
      </c>
      <c r="D882" s="1">
        <v>44568</v>
      </c>
      <c r="E882">
        <v>106919562</v>
      </c>
      <c r="F882" s="1">
        <v>44617</v>
      </c>
      <c r="G882">
        <v>8729</v>
      </c>
      <c r="H882">
        <v>109.28</v>
      </c>
      <c r="I882">
        <v>35.840000000000003</v>
      </c>
      <c r="J882">
        <v>953905.12</v>
      </c>
      <c r="K882">
        <v>312847.36000000004</v>
      </c>
    </row>
    <row r="883" spans="1:11" x14ac:dyDescent="0.35">
      <c r="A883" t="s">
        <v>861</v>
      </c>
      <c r="B883" t="s">
        <v>982</v>
      </c>
      <c r="C883" t="s">
        <v>12</v>
      </c>
      <c r="D883" s="1">
        <v>43951</v>
      </c>
      <c r="E883">
        <v>754117715</v>
      </c>
      <c r="F883" s="1">
        <v>43975</v>
      </c>
      <c r="G883">
        <v>9045</v>
      </c>
      <c r="H883">
        <v>81.73</v>
      </c>
      <c r="I883">
        <v>56.67</v>
      </c>
      <c r="J883">
        <v>739247.85000000009</v>
      </c>
      <c r="K883">
        <v>512580.15</v>
      </c>
    </row>
    <row r="884" spans="1:11" x14ac:dyDescent="0.35">
      <c r="A884" t="s">
        <v>862</v>
      </c>
      <c r="B884" t="s">
        <v>974</v>
      </c>
      <c r="C884" t="s">
        <v>12</v>
      </c>
      <c r="D884" s="1">
        <v>44101</v>
      </c>
      <c r="E884">
        <v>557524669</v>
      </c>
      <c r="F884" s="1">
        <v>44151</v>
      </c>
      <c r="G884">
        <v>2794</v>
      </c>
      <c r="H884">
        <v>9.33</v>
      </c>
      <c r="I884">
        <v>6.92</v>
      </c>
      <c r="J884">
        <v>26068.02</v>
      </c>
      <c r="K884">
        <v>19334.48</v>
      </c>
    </row>
    <row r="885" spans="1:11" x14ac:dyDescent="0.35">
      <c r="A885" t="s">
        <v>863</v>
      </c>
      <c r="B885" t="s">
        <v>968</v>
      </c>
      <c r="C885" t="s">
        <v>17</v>
      </c>
      <c r="D885" s="1">
        <v>44209</v>
      </c>
      <c r="E885">
        <v>259376752</v>
      </c>
      <c r="F885" s="1">
        <v>44237</v>
      </c>
      <c r="G885">
        <v>4200</v>
      </c>
      <c r="H885">
        <v>152.58000000000001</v>
      </c>
      <c r="I885">
        <v>97.44</v>
      </c>
      <c r="J885">
        <v>640836</v>
      </c>
      <c r="K885">
        <v>409248</v>
      </c>
    </row>
    <row r="886" spans="1:11" x14ac:dyDescent="0.35">
      <c r="A886" t="s">
        <v>864</v>
      </c>
      <c r="B886" t="s">
        <v>970</v>
      </c>
      <c r="C886" t="s">
        <v>17</v>
      </c>
      <c r="D886" s="1">
        <v>44135</v>
      </c>
      <c r="E886">
        <v>672222793</v>
      </c>
      <c r="F886" s="1">
        <v>44182</v>
      </c>
      <c r="G886">
        <v>4517</v>
      </c>
      <c r="H886">
        <v>421.89</v>
      </c>
      <c r="I886">
        <v>364.69</v>
      </c>
      <c r="J886">
        <v>1905677.13</v>
      </c>
      <c r="K886">
        <v>1647304.73</v>
      </c>
    </row>
    <row r="887" spans="1:11" x14ac:dyDescent="0.35">
      <c r="A887" t="s">
        <v>865</v>
      </c>
      <c r="B887" t="s">
        <v>972</v>
      </c>
      <c r="C887" t="s">
        <v>17</v>
      </c>
      <c r="D887" s="1">
        <v>43885</v>
      </c>
      <c r="E887">
        <v>428924119</v>
      </c>
      <c r="F887" s="1">
        <v>43896</v>
      </c>
      <c r="G887">
        <v>7033</v>
      </c>
      <c r="H887">
        <v>205.7</v>
      </c>
      <c r="I887">
        <v>117.11</v>
      </c>
      <c r="J887">
        <v>1446688.0999999999</v>
      </c>
      <c r="K887">
        <v>823634.63</v>
      </c>
    </row>
    <row r="888" spans="1:11" x14ac:dyDescent="0.35">
      <c r="A888" t="s">
        <v>866</v>
      </c>
      <c r="B888" t="s">
        <v>990</v>
      </c>
      <c r="C888" t="s">
        <v>12</v>
      </c>
      <c r="D888" s="1">
        <v>44134</v>
      </c>
      <c r="E888">
        <v>932654559</v>
      </c>
      <c r="F888" s="1">
        <v>44144</v>
      </c>
      <c r="G888">
        <v>2065</v>
      </c>
      <c r="H888">
        <v>668.27</v>
      </c>
      <c r="I888">
        <v>502.54</v>
      </c>
      <c r="J888">
        <v>1379977.55</v>
      </c>
      <c r="K888">
        <v>1037745.1000000001</v>
      </c>
    </row>
    <row r="889" spans="1:11" x14ac:dyDescent="0.35">
      <c r="A889" t="s">
        <v>867</v>
      </c>
      <c r="B889" t="s">
        <v>978</v>
      </c>
      <c r="C889" t="s">
        <v>14</v>
      </c>
      <c r="D889" s="1">
        <v>44661</v>
      </c>
      <c r="E889">
        <v>506900441</v>
      </c>
      <c r="F889" s="1">
        <v>44661</v>
      </c>
      <c r="G889">
        <v>1960</v>
      </c>
      <c r="H889">
        <v>47.45</v>
      </c>
      <c r="I889">
        <v>31.79</v>
      </c>
      <c r="J889">
        <v>93002</v>
      </c>
      <c r="K889">
        <v>62308.4</v>
      </c>
    </row>
    <row r="890" spans="1:11" x14ac:dyDescent="0.35">
      <c r="A890" t="s">
        <v>868</v>
      </c>
      <c r="B890" t="s">
        <v>988</v>
      </c>
      <c r="C890" t="s">
        <v>19</v>
      </c>
      <c r="D890" s="1">
        <v>44869</v>
      </c>
      <c r="E890">
        <v>245460593</v>
      </c>
      <c r="F890" s="1">
        <v>44892</v>
      </c>
      <c r="G890">
        <v>6099</v>
      </c>
      <c r="H890">
        <v>109.28</v>
      </c>
      <c r="I890">
        <v>35.840000000000003</v>
      </c>
      <c r="J890">
        <v>666498.72</v>
      </c>
      <c r="K890">
        <v>218588.16000000003</v>
      </c>
    </row>
    <row r="891" spans="1:11" x14ac:dyDescent="0.35">
      <c r="A891" t="s">
        <v>869</v>
      </c>
      <c r="B891" t="s">
        <v>968</v>
      </c>
      <c r="C891" t="s">
        <v>19</v>
      </c>
      <c r="D891" s="1">
        <v>44308</v>
      </c>
      <c r="E891">
        <v>862446343</v>
      </c>
      <c r="F891" s="1">
        <v>44342</v>
      </c>
      <c r="G891">
        <v>5893</v>
      </c>
      <c r="H891">
        <v>152.58000000000001</v>
      </c>
      <c r="I891">
        <v>97.44</v>
      </c>
      <c r="J891">
        <v>899153.94000000006</v>
      </c>
      <c r="K891">
        <v>574213.92000000004</v>
      </c>
    </row>
    <row r="892" spans="1:11" x14ac:dyDescent="0.35">
      <c r="A892" t="s">
        <v>870</v>
      </c>
      <c r="B892" t="s">
        <v>990</v>
      </c>
      <c r="C892" t="s">
        <v>12</v>
      </c>
      <c r="D892" s="1">
        <v>44240</v>
      </c>
      <c r="E892">
        <v>442281520</v>
      </c>
      <c r="F892" s="1">
        <v>44269</v>
      </c>
      <c r="G892">
        <v>9785</v>
      </c>
      <c r="H892">
        <v>668.27</v>
      </c>
      <c r="I892">
        <v>502.54</v>
      </c>
      <c r="J892">
        <v>6539021.9500000002</v>
      </c>
      <c r="K892">
        <v>4917353.9000000004</v>
      </c>
    </row>
    <row r="893" spans="1:11" x14ac:dyDescent="0.35">
      <c r="A893" t="s">
        <v>871</v>
      </c>
      <c r="B893" t="s">
        <v>978</v>
      </c>
      <c r="C893" t="s">
        <v>14</v>
      </c>
      <c r="D893" s="1">
        <v>43987</v>
      </c>
      <c r="E893">
        <v>289702451</v>
      </c>
      <c r="F893" s="1">
        <v>44000</v>
      </c>
      <c r="G893">
        <v>8248</v>
      </c>
      <c r="H893">
        <v>47.45</v>
      </c>
      <c r="I893">
        <v>31.79</v>
      </c>
      <c r="J893">
        <v>391367.60000000003</v>
      </c>
      <c r="K893">
        <v>262203.92</v>
      </c>
    </row>
    <row r="894" spans="1:11" x14ac:dyDescent="0.35">
      <c r="A894" t="s">
        <v>639</v>
      </c>
      <c r="B894" t="s">
        <v>978</v>
      </c>
      <c r="C894" t="s">
        <v>12</v>
      </c>
      <c r="D894" s="1">
        <v>44584</v>
      </c>
      <c r="E894">
        <v>879757964</v>
      </c>
      <c r="F894" s="1">
        <v>44619</v>
      </c>
      <c r="G894">
        <v>8787</v>
      </c>
      <c r="H894">
        <v>47.45</v>
      </c>
      <c r="I894">
        <v>31.79</v>
      </c>
      <c r="J894">
        <v>416943.15</v>
      </c>
      <c r="K894">
        <v>279338.73</v>
      </c>
    </row>
    <row r="895" spans="1:11" x14ac:dyDescent="0.35">
      <c r="A895" t="s">
        <v>872</v>
      </c>
      <c r="B895" t="s">
        <v>972</v>
      </c>
      <c r="C895" t="s">
        <v>14</v>
      </c>
      <c r="D895" s="1">
        <v>44078</v>
      </c>
      <c r="E895">
        <v>507809388</v>
      </c>
      <c r="F895" s="1">
        <v>44079</v>
      </c>
      <c r="G895">
        <v>937</v>
      </c>
      <c r="H895">
        <v>205.7</v>
      </c>
      <c r="I895">
        <v>117.11</v>
      </c>
      <c r="J895">
        <v>192740.9</v>
      </c>
      <c r="K895">
        <v>109732.06999999999</v>
      </c>
    </row>
    <row r="896" spans="1:11" x14ac:dyDescent="0.35">
      <c r="A896" t="s">
        <v>348</v>
      </c>
      <c r="B896" t="s">
        <v>990</v>
      </c>
      <c r="C896" t="s">
        <v>12</v>
      </c>
      <c r="D896" s="1">
        <v>44322</v>
      </c>
      <c r="E896">
        <v>239530551</v>
      </c>
      <c r="F896" s="1">
        <v>44333</v>
      </c>
      <c r="G896">
        <v>1268</v>
      </c>
      <c r="H896">
        <v>668.27</v>
      </c>
      <c r="I896">
        <v>502.54</v>
      </c>
      <c r="J896">
        <v>847366.36</v>
      </c>
      <c r="K896">
        <v>637220.72</v>
      </c>
    </row>
    <row r="897" spans="1:11" x14ac:dyDescent="0.35">
      <c r="A897" t="s">
        <v>873</v>
      </c>
      <c r="B897" t="s">
        <v>976</v>
      </c>
      <c r="C897" t="s">
        <v>17</v>
      </c>
      <c r="D897" s="1">
        <v>44178</v>
      </c>
      <c r="E897">
        <v>760907781</v>
      </c>
      <c r="F897" s="1">
        <v>44202</v>
      </c>
      <c r="G897">
        <v>8376</v>
      </c>
      <c r="H897">
        <v>255.28</v>
      </c>
      <c r="I897">
        <v>159.41999999999999</v>
      </c>
      <c r="J897">
        <v>2138225.2799999998</v>
      </c>
      <c r="K897">
        <v>1335301.92</v>
      </c>
    </row>
    <row r="898" spans="1:11" x14ac:dyDescent="0.35">
      <c r="A898" t="s">
        <v>874</v>
      </c>
      <c r="B898" t="s">
        <v>972</v>
      </c>
      <c r="C898" t="s">
        <v>17</v>
      </c>
      <c r="D898" s="1">
        <v>44225</v>
      </c>
      <c r="E898">
        <v>128239905</v>
      </c>
      <c r="F898" s="1">
        <v>44265</v>
      </c>
      <c r="G898">
        <v>7893</v>
      </c>
      <c r="H898">
        <v>205.7</v>
      </c>
      <c r="I898">
        <v>117.11</v>
      </c>
      <c r="J898">
        <v>1623590.0999999999</v>
      </c>
      <c r="K898">
        <v>924349.23</v>
      </c>
    </row>
    <row r="899" spans="1:11" x14ac:dyDescent="0.35">
      <c r="A899" t="s">
        <v>875</v>
      </c>
      <c r="B899" t="s">
        <v>976</v>
      </c>
      <c r="C899" t="s">
        <v>12</v>
      </c>
      <c r="D899" s="1">
        <v>44143</v>
      </c>
      <c r="E899">
        <v>518138253</v>
      </c>
      <c r="F899" s="1">
        <v>44163</v>
      </c>
      <c r="G899">
        <v>7478</v>
      </c>
      <c r="H899">
        <v>255.28</v>
      </c>
      <c r="I899">
        <v>159.41999999999999</v>
      </c>
      <c r="J899">
        <v>1908983.84</v>
      </c>
      <c r="K899">
        <v>1192142.76</v>
      </c>
    </row>
    <row r="900" spans="1:11" x14ac:dyDescent="0.35">
      <c r="A900" t="s">
        <v>876</v>
      </c>
      <c r="B900" t="s">
        <v>968</v>
      </c>
      <c r="C900" t="s">
        <v>14</v>
      </c>
      <c r="D900" s="1">
        <v>44281</v>
      </c>
      <c r="E900">
        <v>577526652</v>
      </c>
      <c r="F900" s="1">
        <v>44296</v>
      </c>
      <c r="G900">
        <v>1825</v>
      </c>
      <c r="H900">
        <v>152.58000000000001</v>
      </c>
      <c r="I900">
        <v>97.44</v>
      </c>
      <c r="J900">
        <v>278458.5</v>
      </c>
      <c r="K900">
        <v>177828</v>
      </c>
    </row>
    <row r="901" spans="1:11" x14ac:dyDescent="0.35">
      <c r="A901" t="s">
        <v>877</v>
      </c>
      <c r="B901" t="s">
        <v>984</v>
      </c>
      <c r="C901" t="s">
        <v>17</v>
      </c>
      <c r="D901" s="1">
        <v>44092</v>
      </c>
      <c r="E901">
        <v>373641431</v>
      </c>
      <c r="F901" s="1">
        <v>44132</v>
      </c>
      <c r="G901">
        <v>7657</v>
      </c>
      <c r="H901">
        <v>651.21</v>
      </c>
      <c r="I901">
        <v>524.96</v>
      </c>
      <c r="J901">
        <v>4986314.9700000007</v>
      </c>
      <c r="K901">
        <v>4019618.72</v>
      </c>
    </row>
    <row r="902" spans="1:11" x14ac:dyDescent="0.35">
      <c r="A902" t="s">
        <v>878</v>
      </c>
      <c r="B902" t="s">
        <v>970</v>
      </c>
      <c r="C902" t="s">
        <v>17</v>
      </c>
      <c r="D902" s="1">
        <v>44739</v>
      </c>
      <c r="E902">
        <v>944031417</v>
      </c>
      <c r="F902" s="1">
        <v>44785</v>
      </c>
      <c r="G902">
        <v>8730</v>
      </c>
      <c r="H902">
        <v>421.89</v>
      </c>
      <c r="I902">
        <v>364.69</v>
      </c>
      <c r="J902">
        <v>3683099.6999999997</v>
      </c>
      <c r="K902">
        <v>3183743.7</v>
      </c>
    </row>
    <row r="903" spans="1:11" x14ac:dyDescent="0.35">
      <c r="A903" t="s">
        <v>879</v>
      </c>
      <c r="B903" t="s">
        <v>978</v>
      </c>
      <c r="C903" t="s">
        <v>17</v>
      </c>
      <c r="D903" s="1">
        <v>44404</v>
      </c>
      <c r="E903">
        <v>246557939</v>
      </c>
      <c r="F903" s="1">
        <v>44453</v>
      </c>
      <c r="G903">
        <v>828</v>
      </c>
      <c r="H903">
        <v>47.45</v>
      </c>
      <c r="I903">
        <v>31.79</v>
      </c>
      <c r="J903">
        <v>39288.600000000006</v>
      </c>
      <c r="K903">
        <v>26322.12</v>
      </c>
    </row>
    <row r="904" spans="1:11" x14ac:dyDescent="0.35">
      <c r="A904" t="s">
        <v>880</v>
      </c>
      <c r="B904" t="s">
        <v>984</v>
      </c>
      <c r="C904" t="s">
        <v>17</v>
      </c>
      <c r="D904" s="1">
        <v>44021</v>
      </c>
      <c r="E904">
        <v>809394824</v>
      </c>
      <c r="F904" s="1">
        <v>44021</v>
      </c>
      <c r="G904">
        <v>6770</v>
      </c>
      <c r="H904">
        <v>651.21</v>
      </c>
      <c r="I904">
        <v>524.96</v>
      </c>
      <c r="J904">
        <v>4408691.7</v>
      </c>
      <c r="K904">
        <v>3553979.2</v>
      </c>
    </row>
    <row r="905" spans="1:11" x14ac:dyDescent="0.35">
      <c r="A905" t="s">
        <v>881</v>
      </c>
      <c r="B905" t="s">
        <v>986</v>
      </c>
      <c r="C905" t="s">
        <v>14</v>
      </c>
      <c r="D905" s="1">
        <v>44675</v>
      </c>
      <c r="E905">
        <v>281028401</v>
      </c>
      <c r="F905" s="1">
        <v>44695</v>
      </c>
      <c r="G905">
        <v>1404</v>
      </c>
      <c r="H905">
        <v>154.06</v>
      </c>
      <c r="I905">
        <v>90.93</v>
      </c>
      <c r="J905">
        <v>216300.24</v>
      </c>
      <c r="K905">
        <v>127665.72000000002</v>
      </c>
    </row>
    <row r="906" spans="1:11" x14ac:dyDescent="0.35">
      <c r="A906" t="s">
        <v>882</v>
      </c>
      <c r="B906" t="s">
        <v>984</v>
      </c>
      <c r="C906" t="s">
        <v>17</v>
      </c>
      <c r="D906" s="1">
        <v>43941</v>
      </c>
      <c r="E906">
        <v>880257499</v>
      </c>
      <c r="F906" s="1">
        <v>43952</v>
      </c>
      <c r="G906">
        <v>6610</v>
      </c>
      <c r="H906">
        <v>651.21</v>
      </c>
      <c r="I906">
        <v>524.96</v>
      </c>
      <c r="J906">
        <v>4304498.1000000006</v>
      </c>
      <c r="K906">
        <v>3469985.6</v>
      </c>
    </row>
    <row r="907" spans="1:11" x14ac:dyDescent="0.35">
      <c r="A907" t="s">
        <v>771</v>
      </c>
      <c r="B907" t="s">
        <v>976</v>
      </c>
      <c r="C907" t="s">
        <v>19</v>
      </c>
      <c r="D907" s="1">
        <v>44762</v>
      </c>
      <c r="E907">
        <v>846193444</v>
      </c>
      <c r="F907" s="1">
        <v>44806</v>
      </c>
      <c r="G907">
        <v>6299</v>
      </c>
      <c r="H907">
        <v>255.28</v>
      </c>
      <c r="I907">
        <v>159.41999999999999</v>
      </c>
      <c r="J907">
        <v>1608008.72</v>
      </c>
      <c r="K907">
        <v>1004186.58</v>
      </c>
    </row>
    <row r="908" spans="1:11" x14ac:dyDescent="0.35">
      <c r="A908" t="s">
        <v>883</v>
      </c>
      <c r="B908" t="s">
        <v>970</v>
      </c>
      <c r="C908" t="s">
        <v>14</v>
      </c>
      <c r="D908" s="1">
        <v>44487</v>
      </c>
      <c r="E908">
        <v>288260066</v>
      </c>
      <c r="F908" s="1">
        <v>44510</v>
      </c>
      <c r="G908">
        <v>1414</v>
      </c>
      <c r="H908">
        <v>421.89</v>
      </c>
      <c r="I908">
        <v>364.69</v>
      </c>
      <c r="J908">
        <v>596552.46</v>
      </c>
      <c r="K908">
        <v>515671.66</v>
      </c>
    </row>
    <row r="909" spans="1:11" x14ac:dyDescent="0.35">
      <c r="A909" t="s">
        <v>884</v>
      </c>
      <c r="B909" t="s">
        <v>972</v>
      </c>
      <c r="C909" t="s">
        <v>19</v>
      </c>
      <c r="D909" s="1">
        <v>44785</v>
      </c>
      <c r="E909">
        <v>736193692</v>
      </c>
      <c r="F909" s="1">
        <v>44805</v>
      </c>
      <c r="G909">
        <v>4928</v>
      </c>
      <c r="H909">
        <v>205.7</v>
      </c>
      <c r="I909">
        <v>117.11</v>
      </c>
      <c r="J909">
        <v>1013689.6</v>
      </c>
      <c r="K909">
        <v>577118.07999999996</v>
      </c>
    </row>
    <row r="910" spans="1:11" x14ac:dyDescent="0.35">
      <c r="A910" t="s">
        <v>885</v>
      </c>
      <c r="B910" t="s">
        <v>972</v>
      </c>
      <c r="C910" t="s">
        <v>12</v>
      </c>
      <c r="D910" s="1">
        <v>44864</v>
      </c>
      <c r="E910">
        <v>190043151</v>
      </c>
      <c r="F910" s="1">
        <v>44908</v>
      </c>
      <c r="G910">
        <v>6846</v>
      </c>
      <c r="H910">
        <v>205.7</v>
      </c>
      <c r="I910">
        <v>117.11</v>
      </c>
      <c r="J910">
        <v>1408222.2</v>
      </c>
      <c r="K910">
        <v>801735.05999999994</v>
      </c>
    </row>
    <row r="911" spans="1:11" x14ac:dyDescent="0.35">
      <c r="A911" t="s">
        <v>886</v>
      </c>
      <c r="B911" t="s">
        <v>970</v>
      </c>
      <c r="C911" t="s">
        <v>19</v>
      </c>
      <c r="D911" s="1">
        <v>44078</v>
      </c>
      <c r="E911">
        <v>770169770</v>
      </c>
      <c r="F911" s="1">
        <v>44092</v>
      </c>
      <c r="G911">
        <v>9205</v>
      </c>
      <c r="H911">
        <v>421.89</v>
      </c>
      <c r="I911">
        <v>364.69</v>
      </c>
      <c r="J911">
        <v>3883497.4499999997</v>
      </c>
      <c r="K911">
        <v>3356971.45</v>
      </c>
    </row>
    <row r="912" spans="1:11" x14ac:dyDescent="0.35">
      <c r="A912" t="s">
        <v>335</v>
      </c>
      <c r="B912" t="s">
        <v>984</v>
      </c>
      <c r="C912" t="s">
        <v>12</v>
      </c>
      <c r="D912" s="1">
        <v>44537</v>
      </c>
      <c r="E912">
        <v>167247378</v>
      </c>
      <c r="F912" s="1">
        <v>44579</v>
      </c>
      <c r="G912">
        <v>1071</v>
      </c>
      <c r="H912">
        <v>651.21</v>
      </c>
      <c r="I912">
        <v>524.96</v>
      </c>
      <c r="J912">
        <v>697445.91</v>
      </c>
      <c r="K912">
        <v>562232.16</v>
      </c>
    </row>
    <row r="913" spans="1:11" x14ac:dyDescent="0.35">
      <c r="A913" t="s">
        <v>887</v>
      </c>
      <c r="B913" t="s">
        <v>968</v>
      </c>
      <c r="C913" t="s">
        <v>12</v>
      </c>
      <c r="D913" s="1">
        <v>44324</v>
      </c>
      <c r="E913">
        <v>192262303</v>
      </c>
      <c r="F913" s="1">
        <v>44324</v>
      </c>
      <c r="G913">
        <v>3543</v>
      </c>
      <c r="H913">
        <v>152.58000000000001</v>
      </c>
      <c r="I913">
        <v>97.44</v>
      </c>
      <c r="J913">
        <v>540590.94000000006</v>
      </c>
      <c r="K913">
        <v>345229.92</v>
      </c>
    </row>
    <row r="914" spans="1:11" x14ac:dyDescent="0.35">
      <c r="A914" t="s">
        <v>888</v>
      </c>
      <c r="B914" t="s">
        <v>982</v>
      </c>
      <c r="C914" t="s">
        <v>19</v>
      </c>
      <c r="D914" s="1">
        <v>44278</v>
      </c>
      <c r="E914">
        <v>926513373</v>
      </c>
      <c r="F914" s="1">
        <v>44278</v>
      </c>
      <c r="G914">
        <v>4751</v>
      </c>
      <c r="H914">
        <v>81.73</v>
      </c>
      <c r="I914">
        <v>56.67</v>
      </c>
      <c r="J914">
        <v>388299.23000000004</v>
      </c>
      <c r="K914">
        <v>269239.17</v>
      </c>
    </row>
    <row r="915" spans="1:11" x14ac:dyDescent="0.35">
      <c r="A915" t="s">
        <v>889</v>
      </c>
      <c r="B915" t="s">
        <v>970</v>
      </c>
      <c r="C915" t="s">
        <v>19</v>
      </c>
      <c r="D915" s="1">
        <v>44339</v>
      </c>
      <c r="E915">
        <v>271611917</v>
      </c>
      <c r="F915" s="1">
        <v>44356</v>
      </c>
      <c r="G915">
        <v>4857</v>
      </c>
      <c r="H915">
        <v>421.89</v>
      </c>
      <c r="I915">
        <v>364.69</v>
      </c>
      <c r="J915">
        <v>2049119.73</v>
      </c>
      <c r="K915">
        <v>1771299.33</v>
      </c>
    </row>
    <row r="916" spans="1:11" x14ac:dyDescent="0.35">
      <c r="A916" t="s">
        <v>155</v>
      </c>
      <c r="B916" t="s">
        <v>984</v>
      </c>
      <c r="C916" t="s">
        <v>12</v>
      </c>
      <c r="D916" s="1">
        <v>44074</v>
      </c>
      <c r="E916">
        <v>699481761</v>
      </c>
      <c r="F916" s="1">
        <v>44088</v>
      </c>
      <c r="G916">
        <v>1052</v>
      </c>
      <c r="H916">
        <v>651.21</v>
      </c>
      <c r="I916">
        <v>524.96</v>
      </c>
      <c r="J916">
        <v>685072.92</v>
      </c>
      <c r="K916">
        <v>552257.92000000004</v>
      </c>
    </row>
    <row r="917" spans="1:11" x14ac:dyDescent="0.35">
      <c r="A917" t="s">
        <v>890</v>
      </c>
      <c r="B917" t="s">
        <v>988</v>
      </c>
      <c r="C917" t="s">
        <v>19</v>
      </c>
      <c r="D917" s="1">
        <v>44239</v>
      </c>
      <c r="E917">
        <v>702359235</v>
      </c>
      <c r="F917" s="1">
        <v>44256</v>
      </c>
      <c r="G917">
        <v>2560</v>
      </c>
      <c r="H917">
        <v>109.28</v>
      </c>
      <c r="I917">
        <v>35.840000000000003</v>
      </c>
      <c r="J917">
        <v>279756.79999999999</v>
      </c>
      <c r="K917">
        <v>91750.400000000009</v>
      </c>
    </row>
    <row r="918" spans="1:11" x14ac:dyDescent="0.35">
      <c r="A918" t="s">
        <v>891</v>
      </c>
      <c r="B918" t="s">
        <v>986</v>
      </c>
      <c r="C918" t="s">
        <v>19</v>
      </c>
      <c r="D918" s="1">
        <v>44174</v>
      </c>
      <c r="E918">
        <v>642793166</v>
      </c>
      <c r="F918" s="1">
        <v>44215</v>
      </c>
      <c r="G918">
        <v>5637</v>
      </c>
      <c r="H918">
        <v>154.06</v>
      </c>
      <c r="I918">
        <v>90.93</v>
      </c>
      <c r="J918">
        <v>868436.22</v>
      </c>
      <c r="K918">
        <v>512572.41000000003</v>
      </c>
    </row>
    <row r="919" spans="1:11" x14ac:dyDescent="0.35">
      <c r="A919" t="s">
        <v>892</v>
      </c>
      <c r="B919" t="s">
        <v>984</v>
      </c>
      <c r="C919" t="s">
        <v>17</v>
      </c>
      <c r="D919" s="1">
        <v>44405</v>
      </c>
      <c r="E919">
        <v>503644883</v>
      </c>
      <c r="F919" s="1">
        <v>44417</v>
      </c>
      <c r="G919">
        <v>8568</v>
      </c>
      <c r="H919">
        <v>651.21</v>
      </c>
      <c r="I919">
        <v>524.96</v>
      </c>
      <c r="J919">
        <v>5579567.2800000003</v>
      </c>
      <c r="K919">
        <v>4497857.28</v>
      </c>
    </row>
    <row r="920" spans="1:11" x14ac:dyDescent="0.35">
      <c r="A920" t="s">
        <v>893</v>
      </c>
      <c r="B920" t="s">
        <v>982</v>
      </c>
      <c r="C920" t="s">
        <v>14</v>
      </c>
      <c r="D920" s="1">
        <v>44043</v>
      </c>
      <c r="E920">
        <v>338088214</v>
      </c>
      <c r="F920" s="1">
        <v>44092</v>
      </c>
      <c r="G920">
        <v>6670</v>
      </c>
      <c r="H920">
        <v>81.73</v>
      </c>
      <c r="I920">
        <v>56.67</v>
      </c>
      <c r="J920">
        <v>545139.1</v>
      </c>
      <c r="K920">
        <v>377988.9</v>
      </c>
    </row>
    <row r="921" spans="1:11" x14ac:dyDescent="0.35">
      <c r="A921" t="s">
        <v>894</v>
      </c>
      <c r="B921" t="s">
        <v>972</v>
      </c>
      <c r="C921" t="s">
        <v>19</v>
      </c>
      <c r="D921" s="1">
        <v>44432</v>
      </c>
      <c r="E921">
        <v>719609487</v>
      </c>
      <c r="F921" s="1">
        <v>44460</v>
      </c>
      <c r="G921">
        <v>7293</v>
      </c>
      <c r="H921">
        <v>205.7</v>
      </c>
      <c r="I921">
        <v>117.11</v>
      </c>
      <c r="J921">
        <v>1500170.0999999999</v>
      </c>
      <c r="K921">
        <v>854083.23</v>
      </c>
    </row>
    <row r="922" spans="1:11" x14ac:dyDescent="0.35">
      <c r="A922" t="s">
        <v>895</v>
      </c>
      <c r="B922" t="s">
        <v>986</v>
      </c>
      <c r="C922" t="s">
        <v>19</v>
      </c>
      <c r="D922" s="1">
        <v>44453</v>
      </c>
      <c r="E922">
        <v>492007529</v>
      </c>
      <c r="F922" s="1">
        <v>44473</v>
      </c>
      <c r="G922">
        <v>4816</v>
      </c>
      <c r="H922">
        <v>154.06</v>
      </c>
      <c r="I922">
        <v>90.93</v>
      </c>
      <c r="J922">
        <v>741952.96</v>
      </c>
      <c r="K922">
        <v>437918.88</v>
      </c>
    </row>
    <row r="923" spans="1:11" x14ac:dyDescent="0.35">
      <c r="A923" t="s">
        <v>896</v>
      </c>
      <c r="B923" t="s">
        <v>986</v>
      </c>
      <c r="C923" t="s">
        <v>12</v>
      </c>
      <c r="D923" s="1">
        <v>44177</v>
      </c>
      <c r="E923">
        <v>819393670</v>
      </c>
      <c r="F923" s="1">
        <v>44181</v>
      </c>
      <c r="G923">
        <v>5651</v>
      </c>
      <c r="H923">
        <v>154.06</v>
      </c>
      <c r="I923">
        <v>90.93</v>
      </c>
      <c r="J923">
        <v>870593.06</v>
      </c>
      <c r="K923">
        <v>513845.43000000005</v>
      </c>
    </row>
    <row r="924" spans="1:11" x14ac:dyDescent="0.35">
      <c r="A924" t="s">
        <v>897</v>
      </c>
      <c r="B924" t="s">
        <v>974</v>
      </c>
      <c r="C924" t="s">
        <v>12</v>
      </c>
      <c r="D924" s="1">
        <v>44347</v>
      </c>
      <c r="E924">
        <v>236191737</v>
      </c>
      <c r="F924" s="1">
        <v>44348</v>
      </c>
      <c r="G924">
        <v>3239</v>
      </c>
      <c r="H924">
        <v>9.33</v>
      </c>
      <c r="I924">
        <v>6.92</v>
      </c>
      <c r="J924">
        <v>30219.87</v>
      </c>
      <c r="K924">
        <v>22413.88</v>
      </c>
    </row>
    <row r="925" spans="1:11" x14ac:dyDescent="0.35">
      <c r="A925" t="s">
        <v>898</v>
      </c>
      <c r="B925" t="s">
        <v>972</v>
      </c>
      <c r="C925" t="s">
        <v>12</v>
      </c>
      <c r="D925" s="1">
        <v>44804</v>
      </c>
      <c r="E925">
        <v>497138059</v>
      </c>
      <c r="F925" s="1">
        <v>44846</v>
      </c>
      <c r="G925">
        <v>3054</v>
      </c>
      <c r="H925">
        <v>205.7</v>
      </c>
      <c r="I925">
        <v>117.11</v>
      </c>
      <c r="J925">
        <v>628207.79999999993</v>
      </c>
      <c r="K925">
        <v>357653.94</v>
      </c>
    </row>
    <row r="926" spans="1:11" x14ac:dyDescent="0.35">
      <c r="A926" t="s">
        <v>899</v>
      </c>
      <c r="B926" t="s">
        <v>978</v>
      </c>
      <c r="C926" t="s">
        <v>17</v>
      </c>
      <c r="D926" s="1">
        <v>43974</v>
      </c>
      <c r="E926">
        <v>727281463</v>
      </c>
      <c r="F926" s="1">
        <v>44023</v>
      </c>
      <c r="G926">
        <v>7601</v>
      </c>
      <c r="H926">
        <v>47.45</v>
      </c>
      <c r="I926">
        <v>31.79</v>
      </c>
      <c r="J926">
        <v>360667.45</v>
      </c>
      <c r="K926">
        <v>241635.78999999998</v>
      </c>
    </row>
    <row r="927" spans="1:11" x14ac:dyDescent="0.35">
      <c r="A927" t="s">
        <v>900</v>
      </c>
      <c r="B927" t="s">
        <v>970</v>
      </c>
      <c r="C927" t="s">
        <v>19</v>
      </c>
      <c r="D927" s="1">
        <v>44603</v>
      </c>
      <c r="E927">
        <v>571983277</v>
      </c>
      <c r="F927" s="1">
        <v>44606</v>
      </c>
      <c r="G927">
        <v>1417</v>
      </c>
      <c r="H927">
        <v>421.89</v>
      </c>
      <c r="I927">
        <v>364.69</v>
      </c>
      <c r="J927">
        <v>597818.13</v>
      </c>
      <c r="K927">
        <v>516765.73</v>
      </c>
    </row>
    <row r="928" spans="1:11" x14ac:dyDescent="0.35">
      <c r="A928" t="s">
        <v>901</v>
      </c>
      <c r="B928" t="s">
        <v>982</v>
      </c>
      <c r="C928" t="s">
        <v>17</v>
      </c>
      <c r="D928" s="1">
        <v>43843</v>
      </c>
      <c r="E928">
        <v>646917331</v>
      </c>
      <c r="F928" s="1">
        <v>43874</v>
      </c>
      <c r="G928">
        <v>6069</v>
      </c>
      <c r="H928">
        <v>81.73</v>
      </c>
      <c r="I928">
        <v>56.67</v>
      </c>
      <c r="J928">
        <v>496019.37</v>
      </c>
      <c r="K928">
        <v>343930.23</v>
      </c>
    </row>
    <row r="929" spans="1:11" x14ac:dyDescent="0.35">
      <c r="A929" t="s">
        <v>902</v>
      </c>
      <c r="B929" t="s">
        <v>976</v>
      </c>
      <c r="C929" t="s">
        <v>19</v>
      </c>
      <c r="D929" s="1">
        <v>44214</v>
      </c>
      <c r="E929">
        <v>288069951</v>
      </c>
      <c r="F929" s="1">
        <v>44230</v>
      </c>
      <c r="G929">
        <v>5155</v>
      </c>
      <c r="H929">
        <v>255.28</v>
      </c>
      <c r="I929">
        <v>159.41999999999999</v>
      </c>
      <c r="J929">
        <v>1315968.3999999999</v>
      </c>
      <c r="K929">
        <v>821810.1</v>
      </c>
    </row>
    <row r="930" spans="1:11" x14ac:dyDescent="0.35">
      <c r="A930" t="s">
        <v>903</v>
      </c>
      <c r="B930" t="s">
        <v>986</v>
      </c>
      <c r="C930" t="s">
        <v>19</v>
      </c>
      <c r="D930" s="1">
        <v>44726</v>
      </c>
      <c r="E930">
        <v>701739966</v>
      </c>
      <c r="F930" s="1">
        <v>44758</v>
      </c>
      <c r="G930">
        <v>9305</v>
      </c>
      <c r="H930">
        <v>154.06</v>
      </c>
      <c r="I930">
        <v>90.93</v>
      </c>
      <c r="J930">
        <v>1433528.3</v>
      </c>
      <c r="K930">
        <v>846103.65</v>
      </c>
    </row>
    <row r="931" spans="1:11" x14ac:dyDescent="0.35">
      <c r="A931" t="s">
        <v>461</v>
      </c>
      <c r="B931" t="s">
        <v>972</v>
      </c>
      <c r="C931" t="s">
        <v>14</v>
      </c>
      <c r="D931" s="1">
        <v>44539</v>
      </c>
      <c r="E931">
        <v>914538705</v>
      </c>
      <c r="F931" s="1">
        <v>44556</v>
      </c>
      <c r="G931">
        <v>1181</v>
      </c>
      <c r="H931">
        <v>205.7</v>
      </c>
      <c r="I931">
        <v>117.11</v>
      </c>
      <c r="J931">
        <v>242931.69999999998</v>
      </c>
      <c r="K931">
        <v>138306.91</v>
      </c>
    </row>
    <row r="932" spans="1:11" x14ac:dyDescent="0.35">
      <c r="A932" t="s">
        <v>904</v>
      </c>
      <c r="B932" t="s">
        <v>968</v>
      </c>
      <c r="C932" t="s">
        <v>14</v>
      </c>
      <c r="D932" s="1">
        <v>44523</v>
      </c>
      <c r="E932">
        <v>923389995</v>
      </c>
      <c r="F932" s="1">
        <v>44570</v>
      </c>
      <c r="G932">
        <v>474</v>
      </c>
      <c r="H932">
        <v>152.58000000000001</v>
      </c>
      <c r="I932">
        <v>97.44</v>
      </c>
      <c r="J932">
        <v>72322.920000000013</v>
      </c>
      <c r="K932">
        <v>46186.559999999998</v>
      </c>
    </row>
    <row r="933" spans="1:11" x14ac:dyDescent="0.35">
      <c r="A933" t="s">
        <v>708</v>
      </c>
      <c r="B933" t="s">
        <v>978</v>
      </c>
      <c r="C933" t="s">
        <v>19</v>
      </c>
      <c r="D933" s="1">
        <v>44652</v>
      </c>
      <c r="E933">
        <v>345530164</v>
      </c>
      <c r="F933" s="1">
        <v>44660</v>
      </c>
      <c r="G933">
        <v>8909</v>
      </c>
      <c r="H933">
        <v>47.45</v>
      </c>
      <c r="I933">
        <v>31.79</v>
      </c>
      <c r="J933">
        <v>422732.05000000005</v>
      </c>
      <c r="K933">
        <v>283217.11</v>
      </c>
    </row>
    <row r="934" spans="1:11" x14ac:dyDescent="0.35">
      <c r="A934" t="s">
        <v>905</v>
      </c>
      <c r="B934" t="s">
        <v>988</v>
      </c>
      <c r="C934" t="s">
        <v>17</v>
      </c>
      <c r="D934" s="1">
        <v>44525</v>
      </c>
      <c r="E934">
        <v>668508040</v>
      </c>
      <c r="F934" s="1">
        <v>44555</v>
      </c>
      <c r="G934">
        <v>5240</v>
      </c>
      <c r="H934">
        <v>109.28</v>
      </c>
      <c r="I934">
        <v>35.840000000000003</v>
      </c>
      <c r="J934">
        <v>572627.19999999995</v>
      </c>
      <c r="K934">
        <v>187801.60000000001</v>
      </c>
    </row>
    <row r="935" spans="1:11" x14ac:dyDescent="0.35">
      <c r="A935" t="s">
        <v>906</v>
      </c>
      <c r="B935" t="s">
        <v>984</v>
      </c>
      <c r="C935" t="s">
        <v>14</v>
      </c>
      <c r="D935" s="1">
        <v>43888</v>
      </c>
      <c r="E935">
        <v>300184953</v>
      </c>
      <c r="F935" s="1">
        <v>43890</v>
      </c>
      <c r="G935">
        <v>253</v>
      </c>
      <c r="H935">
        <v>651.21</v>
      </c>
      <c r="I935">
        <v>524.96</v>
      </c>
      <c r="J935">
        <v>164756.13</v>
      </c>
      <c r="K935">
        <v>132814.88</v>
      </c>
    </row>
    <row r="936" spans="1:11" x14ac:dyDescent="0.35">
      <c r="A936" t="s">
        <v>907</v>
      </c>
      <c r="B936" t="s">
        <v>974</v>
      </c>
      <c r="C936" t="s">
        <v>17</v>
      </c>
      <c r="D936" s="1">
        <v>44199</v>
      </c>
      <c r="E936">
        <v>418734729</v>
      </c>
      <c r="F936" s="1">
        <v>44202</v>
      </c>
      <c r="G936">
        <v>1766</v>
      </c>
      <c r="H936">
        <v>9.33</v>
      </c>
      <c r="I936">
        <v>6.92</v>
      </c>
      <c r="J936">
        <v>16476.78</v>
      </c>
      <c r="K936">
        <v>12220.72</v>
      </c>
    </row>
    <row r="937" spans="1:11" x14ac:dyDescent="0.35">
      <c r="A937" t="s">
        <v>908</v>
      </c>
      <c r="B937" t="s">
        <v>980</v>
      </c>
      <c r="C937" t="s">
        <v>19</v>
      </c>
      <c r="D937" s="1">
        <v>43932</v>
      </c>
      <c r="E937">
        <v>922643697</v>
      </c>
      <c r="F937" s="1">
        <v>43958</v>
      </c>
      <c r="G937">
        <v>9628</v>
      </c>
      <c r="H937">
        <v>437.2</v>
      </c>
      <c r="I937">
        <v>263.33</v>
      </c>
      <c r="J937">
        <v>4209361.5999999996</v>
      </c>
      <c r="K937">
        <v>2535341.2399999998</v>
      </c>
    </row>
    <row r="938" spans="1:11" x14ac:dyDescent="0.35">
      <c r="A938" t="s">
        <v>909</v>
      </c>
      <c r="B938" t="s">
        <v>984</v>
      </c>
      <c r="C938" t="s">
        <v>14</v>
      </c>
      <c r="D938" s="1">
        <v>44316</v>
      </c>
      <c r="E938">
        <v>880710685</v>
      </c>
      <c r="F938" s="1">
        <v>44366</v>
      </c>
      <c r="G938">
        <v>718</v>
      </c>
      <c r="H938">
        <v>651.21</v>
      </c>
      <c r="I938">
        <v>524.96</v>
      </c>
      <c r="J938">
        <v>467568.78</v>
      </c>
      <c r="K938">
        <v>376921.28</v>
      </c>
    </row>
    <row r="939" spans="1:11" x14ac:dyDescent="0.35">
      <c r="A939" t="s">
        <v>910</v>
      </c>
      <c r="B939" t="s">
        <v>990</v>
      </c>
      <c r="C939" t="s">
        <v>17</v>
      </c>
      <c r="D939" s="1">
        <v>44640</v>
      </c>
      <c r="E939">
        <v>782047021</v>
      </c>
      <c r="F939" s="1">
        <v>44657</v>
      </c>
      <c r="G939">
        <v>3947</v>
      </c>
      <c r="H939">
        <v>668.27</v>
      </c>
      <c r="I939">
        <v>502.54</v>
      </c>
      <c r="J939">
        <v>2637661.69</v>
      </c>
      <c r="K939">
        <v>1983525.3800000001</v>
      </c>
    </row>
    <row r="940" spans="1:11" x14ac:dyDescent="0.35">
      <c r="A940" t="s">
        <v>911</v>
      </c>
      <c r="B940" t="s">
        <v>976</v>
      </c>
      <c r="C940" t="s">
        <v>12</v>
      </c>
      <c r="D940" s="1">
        <v>44863</v>
      </c>
      <c r="E940">
        <v>286076533</v>
      </c>
      <c r="F940" s="1">
        <v>44875</v>
      </c>
      <c r="G940">
        <v>5258</v>
      </c>
      <c r="H940">
        <v>255.28</v>
      </c>
      <c r="I940">
        <v>159.41999999999999</v>
      </c>
      <c r="J940">
        <v>1342262.24</v>
      </c>
      <c r="K940">
        <v>838230.36</v>
      </c>
    </row>
    <row r="941" spans="1:11" x14ac:dyDescent="0.35">
      <c r="A941" t="s">
        <v>277</v>
      </c>
      <c r="B941" t="s">
        <v>976</v>
      </c>
      <c r="C941" t="s">
        <v>14</v>
      </c>
      <c r="D941" s="1">
        <v>44044</v>
      </c>
      <c r="E941">
        <v>472535550</v>
      </c>
      <c r="F941" s="1">
        <v>44072</v>
      </c>
      <c r="G941">
        <v>2625</v>
      </c>
      <c r="H941">
        <v>255.28</v>
      </c>
      <c r="I941">
        <v>159.41999999999999</v>
      </c>
      <c r="J941">
        <v>670110</v>
      </c>
      <c r="K941">
        <v>418477.49999999994</v>
      </c>
    </row>
    <row r="942" spans="1:11" x14ac:dyDescent="0.35">
      <c r="A942" t="s">
        <v>912</v>
      </c>
      <c r="B942" t="s">
        <v>970</v>
      </c>
      <c r="C942" t="s">
        <v>14</v>
      </c>
      <c r="D942" s="1">
        <v>44001</v>
      </c>
      <c r="E942">
        <v>691472899</v>
      </c>
      <c r="F942" s="1">
        <v>44050</v>
      </c>
      <c r="G942">
        <v>1052</v>
      </c>
      <c r="H942">
        <v>421.89</v>
      </c>
      <c r="I942">
        <v>364.69</v>
      </c>
      <c r="J942">
        <v>443828.27999999997</v>
      </c>
      <c r="K942">
        <v>383653.88</v>
      </c>
    </row>
    <row r="943" spans="1:11" x14ac:dyDescent="0.35">
      <c r="A943" t="s">
        <v>913</v>
      </c>
      <c r="B943" t="s">
        <v>976</v>
      </c>
      <c r="C943" t="s">
        <v>14</v>
      </c>
      <c r="D943" s="1">
        <v>44610</v>
      </c>
      <c r="E943">
        <v>813249909</v>
      </c>
      <c r="F943" s="1">
        <v>44630</v>
      </c>
      <c r="G943">
        <v>7575</v>
      </c>
      <c r="H943">
        <v>255.28</v>
      </c>
      <c r="I943">
        <v>159.41999999999999</v>
      </c>
      <c r="J943">
        <v>1933746</v>
      </c>
      <c r="K943">
        <v>1207606.5</v>
      </c>
    </row>
    <row r="944" spans="1:11" x14ac:dyDescent="0.35">
      <c r="A944" t="s">
        <v>774</v>
      </c>
      <c r="B944" t="s">
        <v>974</v>
      </c>
      <c r="C944" t="s">
        <v>19</v>
      </c>
      <c r="D944" s="1">
        <v>44328</v>
      </c>
      <c r="E944">
        <v>778540408</v>
      </c>
      <c r="F944" s="1">
        <v>44356</v>
      </c>
      <c r="G944">
        <v>6263</v>
      </c>
      <c r="H944">
        <v>9.33</v>
      </c>
      <c r="I944">
        <v>6.92</v>
      </c>
      <c r="J944">
        <v>58433.79</v>
      </c>
      <c r="K944">
        <v>43339.96</v>
      </c>
    </row>
    <row r="945" spans="1:11" x14ac:dyDescent="0.35">
      <c r="A945" t="s">
        <v>914</v>
      </c>
      <c r="B945" t="s">
        <v>970</v>
      </c>
      <c r="C945" t="s">
        <v>12</v>
      </c>
      <c r="D945" s="1">
        <v>43847</v>
      </c>
      <c r="E945">
        <v>148330724</v>
      </c>
      <c r="F945" s="1">
        <v>43868</v>
      </c>
      <c r="G945">
        <v>3212</v>
      </c>
      <c r="H945">
        <v>421.89</v>
      </c>
      <c r="I945">
        <v>364.69</v>
      </c>
      <c r="J945">
        <v>1355110.68</v>
      </c>
      <c r="K945">
        <v>1171384.28</v>
      </c>
    </row>
    <row r="946" spans="1:11" x14ac:dyDescent="0.35">
      <c r="A946" t="s">
        <v>915</v>
      </c>
      <c r="B946" t="s">
        <v>974</v>
      </c>
      <c r="C946" t="s">
        <v>17</v>
      </c>
      <c r="D946" s="1">
        <v>44527</v>
      </c>
      <c r="E946">
        <v>353919684</v>
      </c>
      <c r="F946" s="1">
        <v>44562</v>
      </c>
      <c r="G946">
        <v>1554</v>
      </c>
      <c r="H946">
        <v>9.33</v>
      </c>
      <c r="I946">
        <v>6.92</v>
      </c>
      <c r="J946">
        <v>14498.82</v>
      </c>
      <c r="K946">
        <v>10753.68</v>
      </c>
    </row>
    <row r="947" spans="1:11" x14ac:dyDescent="0.35">
      <c r="A947" t="s">
        <v>901</v>
      </c>
      <c r="B947" t="s">
        <v>988</v>
      </c>
      <c r="C947" t="s">
        <v>19</v>
      </c>
      <c r="D947" s="1">
        <v>44743</v>
      </c>
      <c r="E947">
        <v>646918618</v>
      </c>
      <c r="F947" s="1">
        <v>44761</v>
      </c>
      <c r="G947">
        <v>6450</v>
      </c>
      <c r="H947">
        <v>109.28</v>
      </c>
      <c r="I947">
        <v>35.840000000000003</v>
      </c>
      <c r="J947">
        <v>704856</v>
      </c>
      <c r="K947">
        <v>231168.00000000003</v>
      </c>
    </row>
    <row r="948" spans="1:11" x14ac:dyDescent="0.35">
      <c r="A948" t="s">
        <v>916</v>
      </c>
      <c r="B948" t="s">
        <v>986</v>
      </c>
      <c r="C948" t="s">
        <v>17</v>
      </c>
      <c r="D948" s="1">
        <v>44584</v>
      </c>
      <c r="E948">
        <v>349251353</v>
      </c>
      <c r="F948" s="1">
        <v>44595</v>
      </c>
      <c r="G948">
        <v>91</v>
      </c>
      <c r="H948">
        <v>154.06</v>
      </c>
      <c r="I948">
        <v>90.93</v>
      </c>
      <c r="J948">
        <v>14019.460000000001</v>
      </c>
      <c r="K948">
        <v>8274.630000000001</v>
      </c>
    </row>
    <row r="949" spans="1:11" x14ac:dyDescent="0.35">
      <c r="A949" t="s">
        <v>917</v>
      </c>
      <c r="B949" t="s">
        <v>978</v>
      </c>
      <c r="C949" t="s">
        <v>19</v>
      </c>
      <c r="D949" s="1">
        <v>44286</v>
      </c>
      <c r="E949">
        <v>203154218</v>
      </c>
      <c r="F949" s="1">
        <v>44299</v>
      </c>
      <c r="G949">
        <v>6702</v>
      </c>
      <c r="H949">
        <v>47.45</v>
      </c>
      <c r="I949">
        <v>31.79</v>
      </c>
      <c r="J949">
        <v>318009.90000000002</v>
      </c>
      <c r="K949">
        <v>213056.58</v>
      </c>
    </row>
    <row r="950" spans="1:11" x14ac:dyDescent="0.35">
      <c r="A950" t="s">
        <v>918</v>
      </c>
      <c r="B950" t="s">
        <v>978</v>
      </c>
      <c r="C950" t="s">
        <v>17</v>
      </c>
      <c r="D950" s="1">
        <v>44750</v>
      </c>
      <c r="E950">
        <v>121176040</v>
      </c>
      <c r="F950" s="1">
        <v>44765</v>
      </c>
      <c r="G950">
        <v>7538</v>
      </c>
      <c r="H950">
        <v>47.45</v>
      </c>
      <c r="I950">
        <v>31.79</v>
      </c>
      <c r="J950">
        <v>357678.10000000003</v>
      </c>
      <c r="K950">
        <v>239633.02</v>
      </c>
    </row>
    <row r="951" spans="1:11" x14ac:dyDescent="0.35">
      <c r="A951" t="s">
        <v>919</v>
      </c>
      <c r="B951" t="s">
        <v>976</v>
      </c>
      <c r="C951" t="s">
        <v>17</v>
      </c>
      <c r="D951" s="1">
        <v>43897</v>
      </c>
      <c r="E951">
        <v>536178147</v>
      </c>
      <c r="F951" s="1">
        <v>43917</v>
      </c>
      <c r="G951">
        <v>5884</v>
      </c>
      <c r="H951">
        <v>255.28</v>
      </c>
      <c r="I951">
        <v>159.41999999999999</v>
      </c>
      <c r="J951">
        <v>1502067.52</v>
      </c>
      <c r="K951">
        <v>938027.27999999991</v>
      </c>
    </row>
    <row r="952" spans="1:11" x14ac:dyDescent="0.35">
      <c r="A952" t="s">
        <v>920</v>
      </c>
      <c r="B952" t="s">
        <v>986</v>
      </c>
      <c r="C952" t="s">
        <v>14</v>
      </c>
      <c r="D952" s="1">
        <v>44490</v>
      </c>
      <c r="E952">
        <v>151334369</v>
      </c>
      <c r="F952" s="1">
        <v>44507</v>
      </c>
      <c r="G952">
        <v>2058</v>
      </c>
      <c r="H952">
        <v>154.06</v>
      </c>
      <c r="I952">
        <v>90.93</v>
      </c>
      <c r="J952">
        <v>317055.48</v>
      </c>
      <c r="K952">
        <v>187133.94</v>
      </c>
    </row>
    <row r="953" spans="1:11" x14ac:dyDescent="0.35">
      <c r="A953" t="s">
        <v>921</v>
      </c>
      <c r="B953" t="s">
        <v>982</v>
      </c>
      <c r="C953" t="s">
        <v>17</v>
      </c>
      <c r="D953" s="1">
        <v>44219</v>
      </c>
      <c r="E953">
        <v>890131032</v>
      </c>
      <c r="F953" s="1">
        <v>44232</v>
      </c>
      <c r="G953">
        <v>8408</v>
      </c>
      <c r="H953">
        <v>81.73</v>
      </c>
      <c r="I953">
        <v>56.67</v>
      </c>
      <c r="J953">
        <v>687185.84000000008</v>
      </c>
      <c r="K953">
        <v>476481.36</v>
      </c>
    </row>
    <row r="954" spans="1:11" x14ac:dyDescent="0.35">
      <c r="A954" t="s">
        <v>922</v>
      </c>
      <c r="B954" t="s">
        <v>990</v>
      </c>
      <c r="C954" t="s">
        <v>14</v>
      </c>
      <c r="D954" s="1">
        <v>44575</v>
      </c>
      <c r="E954">
        <v>246366965</v>
      </c>
      <c r="F954" s="1">
        <v>44625</v>
      </c>
      <c r="G954">
        <v>4315</v>
      </c>
      <c r="H954">
        <v>668.27</v>
      </c>
      <c r="I954">
        <v>502.54</v>
      </c>
      <c r="J954">
        <v>2883585.05</v>
      </c>
      <c r="K954">
        <v>2168460.1</v>
      </c>
    </row>
    <row r="955" spans="1:11" x14ac:dyDescent="0.35">
      <c r="A955" t="s">
        <v>923</v>
      </c>
      <c r="B955" t="s">
        <v>972</v>
      </c>
      <c r="C955" t="s">
        <v>17</v>
      </c>
      <c r="D955" s="1">
        <v>44064</v>
      </c>
      <c r="E955">
        <v>734153497</v>
      </c>
      <c r="F955" s="1">
        <v>44096</v>
      </c>
      <c r="G955">
        <v>1189</v>
      </c>
      <c r="H955">
        <v>205.7</v>
      </c>
      <c r="I955">
        <v>117.11</v>
      </c>
      <c r="J955">
        <v>244577.3</v>
      </c>
      <c r="K955">
        <v>139243.79</v>
      </c>
    </row>
    <row r="956" spans="1:11" x14ac:dyDescent="0.35">
      <c r="A956" t="s">
        <v>924</v>
      </c>
      <c r="B956" t="s">
        <v>982</v>
      </c>
      <c r="C956" t="s">
        <v>19</v>
      </c>
      <c r="D956" s="1">
        <v>43948</v>
      </c>
      <c r="E956">
        <v>437914454</v>
      </c>
      <c r="F956" s="1">
        <v>43953</v>
      </c>
      <c r="G956">
        <v>7473</v>
      </c>
      <c r="H956">
        <v>81.73</v>
      </c>
      <c r="I956">
        <v>56.67</v>
      </c>
      <c r="J956">
        <v>610768.29</v>
      </c>
      <c r="K956">
        <v>423494.91000000003</v>
      </c>
    </row>
    <row r="957" spans="1:11" x14ac:dyDescent="0.35">
      <c r="A957" t="s">
        <v>925</v>
      </c>
      <c r="B957" t="s">
        <v>990</v>
      </c>
      <c r="C957" t="s">
        <v>14</v>
      </c>
      <c r="D957" s="1">
        <v>44593</v>
      </c>
      <c r="E957">
        <v>662386167</v>
      </c>
      <c r="F957" s="1">
        <v>44621</v>
      </c>
      <c r="G957">
        <v>3641</v>
      </c>
      <c r="H957">
        <v>668.27</v>
      </c>
      <c r="I957">
        <v>502.54</v>
      </c>
      <c r="J957">
        <v>2433171.0699999998</v>
      </c>
      <c r="K957">
        <v>1829748.1400000001</v>
      </c>
    </row>
    <row r="958" spans="1:11" x14ac:dyDescent="0.35">
      <c r="A958" t="s">
        <v>926</v>
      </c>
      <c r="B958" t="s">
        <v>988</v>
      </c>
      <c r="C958" t="s">
        <v>19</v>
      </c>
      <c r="D958" s="1">
        <v>43902</v>
      </c>
      <c r="E958">
        <v>982617461</v>
      </c>
      <c r="F958" s="1">
        <v>43946</v>
      </c>
      <c r="G958">
        <v>7198</v>
      </c>
      <c r="H958">
        <v>109.28</v>
      </c>
      <c r="I958">
        <v>35.840000000000003</v>
      </c>
      <c r="J958">
        <v>786597.44000000006</v>
      </c>
      <c r="K958">
        <v>257976.32000000004</v>
      </c>
    </row>
    <row r="959" spans="1:11" x14ac:dyDescent="0.35">
      <c r="A959" t="s">
        <v>927</v>
      </c>
      <c r="B959" t="s">
        <v>980</v>
      </c>
      <c r="C959" t="s">
        <v>12</v>
      </c>
      <c r="D959" s="1">
        <v>44099</v>
      </c>
      <c r="E959">
        <v>593969666</v>
      </c>
      <c r="F959" s="1">
        <v>44112</v>
      </c>
      <c r="G959">
        <v>7678</v>
      </c>
      <c r="H959">
        <v>437.2</v>
      </c>
      <c r="I959">
        <v>263.33</v>
      </c>
      <c r="J959">
        <v>3356821.6</v>
      </c>
      <c r="K959">
        <v>2021847.74</v>
      </c>
    </row>
    <row r="960" spans="1:11" x14ac:dyDescent="0.35">
      <c r="A960" t="s">
        <v>928</v>
      </c>
      <c r="B960" t="s">
        <v>986</v>
      </c>
      <c r="C960" t="s">
        <v>14</v>
      </c>
      <c r="D960" s="1">
        <v>43903</v>
      </c>
      <c r="E960">
        <v>562116611</v>
      </c>
      <c r="F960" s="1">
        <v>43937</v>
      </c>
      <c r="G960">
        <v>1651</v>
      </c>
      <c r="H960">
        <v>154.06</v>
      </c>
      <c r="I960">
        <v>90.93</v>
      </c>
      <c r="J960">
        <v>254353.06</v>
      </c>
      <c r="K960">
        <v>150125.43000000002</v>
      </c>
    </row>
    <row r="961" spans="1:11" x14ac:dyDescent="0.35">
      <c r="A961" t="s">
        <v>929</v>
      </c>
      <c r="B961" t="s">
        <v>986</v>
      </c>
      <c r="C961" t="s">
        <v>19</v>
      </c>
      <c r="D961" s="1">
        <v>44266</v>
      </c>
      <c r="E961">
        <v>673044621</v>
      </c>
      <c r="F961" s="1">
        <v>44281</v>
      </c>
      <c r="G961">
        <v>7715</v>
      </c>
      <c r="H961">
        <v>154.06</v>
      </c>
      <c r="I961">
        <v>90.93</v>
      </c>
      <c r="J961">
        <v>1188572.8999999999</v>
      </c>
      <c r="K961">
        <v>701524.95000000007</v>
      </c>
    </row>
    <row r="962" spans="1:11" x14ac:dyDescent="0.35">
      <c r="A962" t="s">
        <v>930</v>
      </c>
      <c r="B962" t="s">
        <v>984</v>
      </c>
      <c r="C962" t="s">
        <v>14</v>
      </c>
      <c r="D962" s="1">
        <v>44722</v>
      </c>
      <c r="E962">
        <v>783052527</v>
      </c>
      <c r="F962" s="1">
        <v>44729</v>
      </c>
      <c r="G962">
        <v>1499</v>
      </c>
      <c r="H962">
        <v>651.21</v>
      </c>
      <c r="I962">
        <v>524.96</v>
      </c>
      <c r="J962">
        <v>976163.79</v>
      </c>
      <c r="K962">
        <v>786915.04</v>
      </c>
    </row>
    <row r="963" spans="1:11" x14ac:dyDescent="0.35">
      <c r="A963" t="s">
        <v>460</v>
      </c>
      <c r="B963" t="s">
        <v>970</v>
      </c>
      <c r="C963" t="s">
        <v>17</v>
      </c>
      <c r="D963" s="1">
        <v>43907</v>
      </c>
      <c r="E963">
        <v>368751657</v>
      </c>
      <c r="F963" s="1">
        <v>43928</v>
      </c>
      <c r="G963">
        <v>664</v>
      </c>
      <c r="H963">
        <v>421.89</v>
      </c>
      <c r="I963">
        <v>364.69</v>
      </c>
      <c r="J963">
        <v>280134.95999999996</v>
      </c>
      <c r="K963">
        <v>242154.16</v>
      </c>
    </row>
    <row r="964" spans="1:11" x14ac:dyDescent="0.35">
      <c r="A964" t="s">
        <v>931</v>
      </c>
      <c r="B964" t="s">
        <v>990</v>
      </c>
      <c r="C964" t="s">
        <v>17</v>
      </c>
      <c r="D964" s="1">
        <v>44259</v>
      </c>
      <c r="E964">
        <v>777065837</v>
      </c>
      <c r="F964" s="1">
        <v>44267</v>
      </c>
      <c r="G964">
        <v>9904</v>
      </c>
      <c r="H964">
        <v>668.27</v>
      </c>
      <c r="I964">
        <v>502.54</v>
      </c>
      <c r="J964">
        <v>6618546.0800000001</v>
      </c>
      <c r="K964">
        <v>4977156.16</v>
      </c>
    </row>
    <row r="965" spans="1:11" x14ac:dyDescent="0.35">
      <c r="A965" t="s">
        <v>932</v>
      </c>
      <c r="B965" t="s">
        <v>968</v>
      </c>
      <c r="C965" t="s">
        <v>17</v>
      </c>
      <c r="D965" s="1">
        <v>44184</v>
      </c>
      <c r="E965">
        <v>275231397</v>
      </c>
      <c r="F965" s="1">
        <v>44217</v>
      </c>
      <c r="G965">
        <v>5941</v>
      </c>
      <c r="H965">
        <v>152.58000000000001</v>
      </c>
      <c r="I965">
        <v>97.44</v>
      </c>
      <c r="J965">
        <v>906477.78</v>
      </c>
      <c r="K965">
        <v>578891.04</v>
      </c>
    </row>
    <row r="966" spans="1:11" x14ac:dyDescent="0.35">
      <c r="A966" t="s">
        <v>933</v>
      </c>
      <c r="B966" t="s">
        <v>988</v>
      </c>
      <c r="C966" t="s">
        <v>19</v>
      </c>
      <c r="D966" s="1">
        <v>44849</v>
      </c>
      <c r="E966">
        <v>800797164</v>
      </c>
      <c r="F966" s="1">
        <v>44896</v>
      </c>
      <c r="G966">
        <v>2531</v>
      </c>
      <c r="H966">
        <v>109.28</v>
      </c>
      <c r="I966">
        <v>35.840000000000003</v>
      </c>
      <c r="J966">
        <v>276587.68</v>
      </c>
      <c r="K966">
        <v>90711.040000000008</v>
      </c>
    </row>
    <row r="967" spans="1:11" x14ac:dyDescent="0.35">
      <c r="A967" t="s">
        <v>934</v>
      </c>
      <c r="B967" t="s">
        <v>980</v>
      </c>
      <c r="C967" t="s">
        <v>14</v>
      </c>
      <c r="D967" s="1">
        <v>44433</v>
      </c>
      <c r="E967">
        <v>311624467</v>
      </c>
      <c r="F967" s="1">
        <v>44447</v>
      </c>
      <c r="G967">
        <v>5460</v>
      </c>
      <c r="H967">
        <v>437.2</v>
      </c>
      <c r="I967">
        <v>263.33</v>
      </c>
      <c r="J967">
        <v>2387112</v>
      </c>
      <c r="K967">
        <v>1437781.7999999998</v>
      </c>
    </row>
    <row r="968" spans="1:11" x14ac:dyDescent="0.35">
      <c r="A968" t="s">
        <v>28</v>
      </c>
      <c r="B968" t="s">
        <v>978</v>
      </c>
      <c r="C968" t="s">
        <v>17</v>
      </c>
      <c r="D968" s="1">
        <v>43872</v>
      </c>
      <c r="E968">
        <v>435887134</v>
      </c>
      <c r="F968" s="1">
        <v>43911</v>
      </c>
      <c r="G968">
        <v>7544</v>
      </c>
      <c r="H968">
        <v>47.45</v>
      </c>
      <c r="I968">
        <v>31.79</v>
      </c>
      <c r="J968">
        <v>357962.80000000005</v>
      </c>
      <c r="K968">
        <v>239823.75999999998</v>
      </c>
    </row>
    <row r="969" spans="1:11" x14ac:dyDescent="0.35">
      <c r="A969" t="s">
        <v>935</v>
      </c>
      <c r="B969" t="s">
        <v>986</v>
      </c>
      <c r="C969" t="s">
        <v>14</v>
      </c>
      <c r="D969" s="1">
        <v>44249</v>
      </c>
      <c r="E969">
        <v>622071492</v>
      </c>
      <c r="F969" s="1">
        <v>44289</v>
      </c>
      <c r="G969">
        <v>3633</v>
      </c>
      <c r="H969">
        <v>154.06</v>
      </c>
      <c r="I969">
        <v>90.93</v>
      </c>
      <c r="J969">
        <v>559699.98</v>
      </c>
      <c r="K969">
        <v>330348.69</v>
      </c>
    </row>
    <row r="970" spans="1:11" x14ac:dyDescent="0.35">
      <c r="A970" t="s">
        <v>936</v>
      </c>
      <c r="B970" t="s">
        <v>980</v>
      </c>
      <c r="C970" t="s">
        <v>19</v>
      </c>
      <c r="D970" s="1">
        <v>44185</v>
      </c>
      <c r="E970">
        <v>388976371</v>
      </c>
      <c r="F970" s="1">
        <v>44205</v>
      </c>
      <c r="G970">
        <v>5607</v>
      </c>
      <c r="H970">
        <v>437.2</v>
      </c>
      <c r="I970">
        <v>263.33</v>
      </c>
      <c r="J970">
        <v>2451380.4</v>
      </c>
      <c r="K970">
        <v>1476491.3099999998</v>
      </c>
    </row>
    <row r="971" spans="1:11" x14ac:dyDescent="0.35">
      <c r="A971" t="s">
        <v>937</v>
      </c>
      <c r="B971" t="s">
        <v>982</v>
      </c>
      <c r="C971" t="s">
        <v>12</v>
      </c>
      <c r="D971" s="1">
        <v>44535</v>
      </c>
      <c r="E971">
        <v>675713098</v>
      </c>
      <c r="F971" s="1">
        <v>44584</v>
      </c>
      <c r="G971">
        <v>7376</v>
      </c>
      <c r="H971">
        <v>81.73</v>
      </c>
      <c r="I971">
        <v>56.67</v>
      </c>
      <c r="J971">
        <v>602840.48</v>
      </c>
      <c r="K971">
        <v>417997.92</v>
      </c>
    </row>
    <row r="972" spans="1:11" x14ac:dyDescent="0.35">
      <c r="A972" t="s">
        <v>938</v>
      </c>
      <c r="B972" t="s">
        <v>974</v>
      </c>
      <c r="C972" t="s">
        <v>19</v>
      </c>
      <c r="D972" s="1">
        <v>44733</v>
      </c>
      <c r="E972">
        <v>691705501</v>
      </c>
      <c r="F972" s="1">
        <v>44766</v>
      </c>
      <c r="G972">
        <v>9884</v>
      </c>
      <c r="H972">
        <v>9.33</v>
      </c>
      <c r="I972">
        <v>6.92</v>
      </c>
      <c r="J972">
        <v>92217.72</v>
      </c>
      <c r="K972">
        <v>68397.279999999999</v>
      </c>
    </row>
    <row r="973" spans="1:11" x14ac:dyDescent="0.35">
      <c r="A973" t="s">
        <v>939</v>
      </c>
      <c r="B973" t="s">
        <v>980</v>
      </c>
      <c r="C973" t="s">
        <v>19</v>
      </c>
      <c r="D973" s="1">
        <v>44364</v>
      </c>
      <c r="E973">
        <v>166689908</v>
      </c>
      <c r="F973" s="1">
        <v>44406</v>
      </c>
      <c r="G973">
        <v>6103</v>
      </c>
      <c r="H973">
        <v>437.2</v>
      </c>
      <c r="I973">
        <v>263.33</v>
      </c>
      <c r="J973">
        <v>2668231.6</v>
      </c>
      <c r="K973">
        <v>1607102.99</v>
      </c>
    </row>
    <row r="974" spans="1:11" x14ac:dyDescent="0.35">
      <c r="A974" t="s">
        <v>940</v>
      </c>
      <c r="B974" t="s">
        <v>990</v>
      </c>
      <c r="C974" t="s">
        <v>14</v>
      </c>
      <c r="D974" s="1">
        <v>44721</v>
      </c>
      <c r="E974">
        <v>700715148</v>
      </c>
      <c r="F974" s="1">
        <v>44756</v>
      </c>
      <c r="G974">
        <v>6039</v>
      </c>
      <c r="H974">
        <v>668.27</v>
      </c>
      <c r="I974">
        <v>502.54</v>
      </c>
      <c r="J974">
        <v>4035682.53</v>
      </c>
      <c r="K974">
        <v>3034839.06</v>
      </c>
    </row>
    <row r="975" spans="1:11" x14ac:dyDescent="0.35">
      <c r="A975" t="s">
        <v>24</v>
      </c>
      <c r="B975" t="s">
        <v>978</v>
      </c>
      <c r="C975" t="s">
        <v>19</v>
      </c>
      <c r="D975" s="1">
        <v>44115</v>
      </c>
      <c r="E975">
        <v>814142549</v>
      </c>
      <c r="F975" s="1">
        <v>44149</v>
      </c>
      <c r="G975">
        <v>1727</v>
      </c>
      <c r="H975">
        <v>47.45</v>
      </c>
      <c r="I975">
        <v>31.79</v>
      </c>
      <c r="J975">
        <v>81946.150000000009</v>
      </c>
      <c r="K975">
        <v>54901.33</v>
      </c>
    </row>
    <row r="976" spans="1:11" x14ac:dyDescent="0.35">
      <c r="A976" t="s">
        <v>941</v>
      </c>
      <c r="B976" t="s">
        <v>968</v>
      </c>
      <c r="C976" t="s">
        <v>12</v>
      </c>
      <c r="D976" s="1">
        <v>44657</v>
      </c>
      <c r="E976">
        <v>897645938</v>
      </c>
      <c r="F976" s="1">
        <v>44704</v>
      </c>
      <c r="G976">
        <v>2236</v>
      </c>
      <c r="H976">
        <v>152.58000000000001</v>
      </c>
      <c r="I976">
        <v>97.44</v>
      </c>
      <c r="J976">
        <v>341168.88</v>
      </c>
      <c r="K976">
        <v>217875.84</v>
      </c>
    </row>
    <row r="977" spans="1:11" x14ac:dyDescent="0.35">
      <c r="A977" t="s">
        <v>942</v>
      </c>
      <c r="B977" t="s">
        <v>984</v>
      </c>
      <c r="C977" t="s">
        <v>14</v>
      </c>
      <c r="D977" s="1">
        <v>44429</v>
      </c>
      <c r="E977">
        <v>962211644</v>
      </c>
      <c r="F977" s="1">
        <v>44478</v>
      </c>
      <c r="G977">
        <v>8663</v>
      </c>
      <c r="H977">
        <v>651.21</v>
      </c>
      <c r="I977">
        <v>524.96</v>
      </c>
      <c r="J977">
        <v>5641432.2300000004</v>
      </c>
      <c r="K977">
        <v>4547728.4800000004</v>
      </c>
    </row>
    <row r="978" spans="1:11" x14ac:dyDescent="0.35">
      <c r="A978" t="s">
        <v>943</v>
      </c>
      <c r="B978" t="s">
        <v>990</v>
      </c>
      <c r="C978" t="s">
        <v>17</v>
      </c>
      <c r="D978" s="1">
        <v>44269</v>
      </c>
      <c r="E978">
        <v>189138495</v>
      </c>
      <c r="F978" s="1">
        <v>44269</v>
      </c>
      <c r="G978">
        <v>9139</v>
      </c>
      <c r="H978">
        <v>668.27</v>
      </c>
      <c r="I978">
        <v>502.54</v>
      </c>
      <c r="J978">
        <v>6107319.5300000003</v>
      </c>
      <c r="K978">
        <v>4592713.0600000005</v>
      </c>
    </row>
    <row r="979" spans="1:11" x14ac:dyDescent="0.35">
      <c r="A979" t="s">
        <v>944</v>
      </c>
      <c r="B979" t="s">
        <v>974</v>
      </c>
      <c r="C979" t="s">
        <v>17</v>
      </c>
      <c r="D979" s="1">
        <v>44119</v>
      </c>
      <c r="E979">
        <v>980037820</v>
      </c>
      <c r="F979" s="1">
        <v>44145</v>
      </c>
      <c r="G979">
        <v>3824</v>
      </c>
      <c r="H979">
        <v>9.33</v>
      </c>
      <c r="I979">
        <v>6.92</v>
      </c>
      <c r="J979">
        <v>35677.919999999998</v>
      </c>
      <c r="K979">
        <v>26462.079999999998</v>
      </c>
    </row>
    <row r="980" spans="1:11" x14ac:dyDescent="0.35">
      <c r="A980" t="s">
        <v>945</v>
      </c>
      <c r="B980" t="s">
        <v>976</v>
      </c>
      <c r="C980" t="s">
        <v>14</v>
      </c>
      <c r="D980" s="1">
        <v>44589</v>
      </c>
      <c r="E980">
        <v>406833446</v>
      </c>
      <c r="F980" s="1">
        <v>44629</v>
      </c>
      <c r="G980">
        <v>9912</v>
      </c>
      <c r="H980">
        <v>255.28</v>
      </c>
      <c r="I980">
        <v>159.41999999999999</v>
      </c>
      <c r="J980">
        <v>2530335.36</v>
      </c>
      <c r="K980">
        <v>1580171.0399999998</v>
      </c>
    </row>
    <row r="981" spans="1:11" x14ac:dyDescent="0.35">
      <c r="A981" t="s">
        <v>946</v>
      </c>
      <c r="B981" t="s">
        <v>970</v>
      </c>
      <c r="C981" t="s">
        <v>17</v>
      </c>
      <c r="D981" s="1">
        <v>44348</v>
      </c>
      <c r="E981">
        <v>561761701</v>
      </c>
      <c r="F981" s="1">
        <v>44365</v>
      </c>
      <c r="G981">
        <v>6626</v>
      </c>
      <c r="H981">
        <v>421.89</v>
      </c>
      <c r="I981">
        <v>364.69</v>
      </c>
      <c r="J981">
        <v>2795443.14</v>
      </c>
      <c r="K981">
        <v>2416435.94</v>
      </c>
    </row>
    <row r="982" spans="1:11" x14ac:dyDescent="0.35">
      <c r="A982" t="s">
        <v>947</v>
      </c>
      <c r="B982" t="s">
        <v>986</v>
      </c>
      <c r="C982" t="s">
        <v>12</v>
      </c>
      <c r="D982" s="1">
        <v>44822</v>
      </c>
      <c r="E982">
        <v>907371413</v>
      </c>
      <c r="F982" s="1">
        <v>44845</v>
      </c>
      <c r="G982">
        <v>220</v>
      </c>
      <c r="H982">
        <v>154.06</v>
      </c>
      <c r="I982">
        <v>90.93</v>
      </c>
      <c r="J982">
        <v>33893.199999999997</v>
      </c>
      <c r="K982">
        <v>20004.600000000002</v>
      </c>
    </row>
    <row r="983" spans="1:11" x14ac:dyDescent="0.35">
      <c r="A983" t="s">
        <v>948</v>
      </c>
      <c r="B983" t="s">
        <v>978</v>
      </c>
      <c r="C983" t="s">
        <v>19</v>
      </c>
      <c r="D983" s="1">
        <v>44450</v>
      </c>
      <c r="E983">
        <v>526523911</v>
      </c>
      <c r="F983" s="1">
        <v>44485</v>
      </c>
      <c r="G983">
        <v>8981</v>
      </c>
      <c r="H983">
        <v>47.45</v>
      </c>
      <c r="I983">
        <v>31.79</v>
      </c>
      <c r="J983">
        <v>426148.45</v>
      </c>
      <c r="K983">
        <v>285505.99</v>
      </c>
    </row>
    <row r="984" spans="1:11" x14ac:dyDescent="0.35">
      <c r="A984" t="s">
        <v>949</v>
      </c>
      <c r="B984" t="s">
        <v>978</v>
      </c>
      <c r="C984" t="s">
        <v>14</v>
      </c>
      <c r="D984" s="1">
        <v>44432</v>
      </c>
      <c r="E984">
        <v>372393023</v>
      </c>
      <c r="F984" s="1">
        <v>44451</v>
      </c>
      <c r="G984">
        <v>8226</v>
      </c>
      <c r="H984">
        <v>47.45</v>
      </c>
      <c r="I984">
        <v>31.79</v>
      </c>
      <c r="J984">
        <v>390323.7</v>
      </c>
      <c r="K984">
        <v>261504.53999999998</v>
      </c>
    </row>
    <row r="985" spans="1:11" x14ac:dyDescent="0.35">
      <c r="A985" t="s">
        <v>473</v>
      </c>
      <c r="B985" t="s">
        <v>984</v>
      </c>
      <c r="C985" t="s">
        <v>19</v>
      </c>
      <c r="D985" s="1">
        <v>44023</v>
      </c>
      <c r="E985">
        <v>118465077</v>
      </c>
      <c r="F985" s="1">
        <v>44028</v>
      </c>
      <c r="G985">
        <v>5304</v>
      </c>
      <c r="H985">
        <v>651.21</v>
      </c>
      <c r="I985">
        <v>524.96</v>
      </c>
      <c r="J985">
        <v>3454017.8400000003</v>
      </c>
      <c r="K985">
        <v>2784387.8400000003</v>
      </c>
    </row>
    <row r="986" spans="1:11" x14ac:dyDescent="0.35">
      <c r="A986" t="s">
        <v>950</v>
      </c>
      <c r="B986" t="s">
        <v>968</v>
      </c>
      <c r="C986" t="s">
        <v>12</v>
      </c>
      <c r="D986" s="1">
        <v>44191</v>
      </c>
      <c r="E986">
        <v>408538901</v>
      </c>
      <c r="F986" s="1">
        <v>44201</v>
      </c>
      <c r="G986">
        <v>4594</v>
      </c>
      <c r="H986">
        <v>152.58000000000001</v>
      </c>
      <c r="I986">
        <v>97.44</v>
      </c>
      <c r="J986">
        <v>700952.52</v>
      </c>
      <c r="K986">
        <v>447639.36</v>
      </c>
    </row>
    <row r="987" spans="1:11" x14ac:dyDescent="0.35">
      <c r="A987" t="s">
        <v>951</v>
      </c>
      <c r="B987" t="s">
        <v>980</v>
      </c>
      <c r="C987" t="s">
        <v>17</v>
      </c>
      <c r="D987" s="1">
        <v>43966</v>
      </c>
      <c r="E987">
        <v>606725823</v>
      </c>
      <c r="F987" s="1">
        <v>43982</v>
      </c>
      <c r="G987">
        <v>2509</v>
      </c>
      <c r="H987">
        <v>437.2</v>
      </c>
      <c r="I987">
        <v>263.33</v>
      </c>
      <c r="J987">
        <v>1096934.8</v>
      </c>
      <c r="K987">
        <v>660694.97</v>
      </c>
    </row>
    <row r="988" spans="1:11" x14ac:dyDescent="0.35">
      <c r="A988" t="s">
        <v>952</v>
      </c>
      <c r="B988" t="s">
        <v>988</v>
      </c>
      <c r="C988" t="s">
        <v>12</v>
      </c>
      <c r="D988" s="1">
        <v>44087</v>
      </c>
      <c r="E988">
        <v>147449672</v>
      </c>
      <c r="F988" s="1">
        <v>44130</v>
      </c>
      <c r="G988">
        <v>2489</v>
      </c>
      <c r="H988">
        <v>109.28</v>
      </c>
      <c r="I988">
        <v>35.840000000000003</v>
      </c>
      <c r="J988">
        <v>271997.92</v>
      </c>
      <c r="K988">
        <v>89205.760000000009</v>
      </c>
    </row>
    <row r="989" spans="1:11" x14ac:dyDescent="0.35">
      <c r="A989" t="s">
        <v>953</v>
      </c>
      <c r="B989" t="s">
        <v>970</v>
      </c>
      <c r="C989" t="s">
        <v>19</v>
      </c>
      <c r="D989" s="1">
        <v>44399</v>
      </c>
      <c r="E989">
        <v>785446774</v>
      </c>
      <c r="F989" s="1">
        <v>44419</v>
      </c>
      <c r="G989">
        <v>10</v>
      </c>
      <c r="H989">
        <v>421.89</v>
      </c>
      <c r="I989">
        <v>364.69</v>
      </c>
      <c r="J989">
        <v>4218.8999999999996</v>
      </c>
      <c r="K989">
        <v>3646.9</v>
      </c>
    </row>
    <row r="990" spans="1:11" x14ac:dyDescent="0.35">
      <c r="A990" t="s">
        <v>954</v>
      </c>
      <c r="B990" t="s">
        <v>986</v>
      </c>
      <c r="C990" t="s">
        <v>17</v>
      </c>
      <c r="D990" s="1">
        <v>44369</v>
      </c>
      <c r="E990">
        <v>745765960</v>
      </c>
      <c r="F990" s="1">
        <v>44391</v>
      </c>
      <c r="G990">
        <v>7575</v>
      </c>
      <c r="H990">
        <v>154.06</v>
      </c>
      <c r="I990">
        <v>90.93</v>
      </c>
      <c r="J990">
        <v>1167004.5</v>
      </c>
      <c r="K990">
        <v>688794.75</v>
      </c>
    </row>
    <row r="991" spans="1:11" x14ac:dyDescent="0.35">
      <c r="A991" t="s">
        <v>955</v>
      </c>
      <c r="B991" t="s">
        <v>980</v>
      </c>
      <c r="C991" t="s">
        <v>12</v>
      </c>
      <c r="D991" s="1">
        <v>44656</v>
      </c>
      <c r="E991">
        <v>573768556</v>
      </c>
      <c r="F991" s="1">
        <v>44686</v>
      </c>
      <c r="G991">
        <v>9721</v>
      </c>
      <c r="H991">
        <v>437.2</v>
      </c>
      <c r="I991">
        <v>263.33</v>
      </c>
      <c r="J991">
        <v>4250021.2</v>
      </c>
      <c r="K991">
        <v>2559830.9299999997</v>
      </c>
    </row>
    <row r="992" spans="1:11" x14ac:dyDescent="0.35">
      <c r="A992" t="s">
        <v>956</v>
      </c>
      <c r="B992" t="s">
        <v>968</v>
      </c>
      <c r="C992" t="s">
        <v>17</v>
      </c>
      <c r="D992" s="1">
        <v>44502</v>
      </c>
      <c r="E992">
        <v>885128390</v>
      </c>
      <c r="F992" s="1">
        <v>44520</v>
      </c>
      <c r="G992">
        <v>8015</v>
      </c>
      <c r="H992">
        <v>152.58000000000001</v>
      </c>
      <c r="I992">
        <v>97.44</v>
      </c>
      <c r="J992">
        <v>1222928.7000000002</v>
      </c>
      <c r="K992">
        <v>780981.6</v>
      </c>
    </row>
    <row r="993" spans="1:11" x14ac:dyDescent="0.35">
      <c r="A993" t="s">
        <v>957</v>
      </c>
      <c r="B993" t="s">
        <v>978</v>
      </c>
      <c r="C993" t="s">
        <v>17</v>
      </c>
      <c r="D993" s="1">
        <v>44335</v>
      </c>
      <c r="E993">
        <v>115831792</v>
      </c>
      <c r="F993" s="1">
        <v>44356</v>
      </c>
      <c r="G993">
        <v>6056</v>
      </c>
      <c r="H993">
        <v>47.45</v>
      </c>
      <c r="I993">
        <v>31.79</v>
      </c>
      <c r="J993">
        <v>287357.2</v>
      </c>
      <c r="K993">
        <v>192520.24</v>
      </c>
    </row>
    <row r="994" spans="1:11" x14ac:dyDescent="0.35">
      <c r="A994" t="s">
        <v>958</v>
      </c>
      <c r="B994" t="s">
        <v>974</v>
      </c>
      <c r="C994" t="s">
        <v>19</v>
      </c>
      <c r="D994" s="1">
        <v>44212</v>
      </c>
      <c r="E994">
        <v>372177588</v>
      </c>
      <c r="F994" s="1">
        <v>44226</v>
      </c>
      <c r="G994">
        <v>4474</v>
      </c>
      <c r="H994">
        <v>9.33</v>
      </c>
      <c r="I994">
        <v>6.92</v>
      </c>
      <c r="J994">
        <v>41742.42</v>
      </c>
      <c r="K994">
        <v>30960.079999999998</v>
      </c>
    </row>
    <row r="995" spans="1:11" x14ac:dyDescent="0.35">
      <c r="A995" t="s">
        <v>959</v>
      </c>
      <c r="B995" t="s">
        <v>980</v>
      </c>
      <c r="C995" t="s">
        <v>17</v>
      </c>
      <c r="D995" s="1">
        <v>44336</v>
      </c>
      <c r="E995">
        <v>680777108</v>
      </c>
      <c r="F995" s="1">
        <v>44369</v>
      </c>
      <c r="G995">
        <v>5930</v>
      </c>
      <c r="H995">
        <v>437.2</v>
      </c>
      <c r="I995">
        <v>263.33</v>
      </c>
      <c r="J995">
        <v>2592596</v>
      </c>
      <c r="K995">
        <v>1561546.9</v>
      </c>
    </row>
    <row r="996" spans="1:11" x14ac:dyDescent="0.35">
      <c r="A996" t="s">
        <v>960</v>
      </c>
      <c r="B996" t="s">
        <v>974</v>
      </c>
      <c r="C996" t="s">
        <v>14</v>
      </c>
      <c r="D996" s="1">
        <v>44533</v>
      </c>
      <c r="E996">
        <v>138554179</v>
      </c>
      <c r="F996" s="1">
        <v>44536</v>
      </c>
      <c r="G996">
        <v>115</v>
      </c>
      <c r="H996">
        <v>9.33</v>
      </c>
      <c r="I996">
        <v>6.92</v>
      </c>
      <c r="J996">
        <v>1072.95</v>
      </c>
      <c r="K996">
        <v>795.8</v>
      </c>
    </row>
    <row r="997" spans="1:11" x14ac:dyDescent="0.35">
      <c r="A997" t="s">
        <v>961</v>
      </c>
      <c r="B997" t="s">
        <v>978</v>
      </c>
      <c r="C997" t="s">
        <v>14</v>
      </c>
      <c r="D997" s="1">
        <v>44777</v>
      </c>
      <c r="E997">
        <v>162745130</v>
      </c>
      <c r="F997" s="1">
        <v>44792</v>
      </c>
      <c r="G997">
        <v>8755</v>
      </c>
      <c r="H997">
        <v>47.45</v>
      </c>
      <c r="I997">
        <v>31.79</v>
      </c>
      <c r="J997">
        <v>415424.75</v>
      </c>
      <c r="K997">
        <v>278321.45</v>
      </c>
    </row>
    <row r="998" spans="1:11" x14ac:dyDescent="0.35">
      <c r="A998" t="s">
        <v>962</v>
      </c>
      <c r="B998" t="s">
        <v>982</v>
      </c>
      <c r="C998" t="s">
        <v>12</v>
      </c>
      <c r="D998" s="1">
        <v>44668</v>
      </c>
      <c r="E998">
        <v>440898787</v>
      </c>
      <c r="F998" s="1">
        <v>44713</v>
      </c>
      <c r="G998">
        <v>604</v>
      </c>
      <c r="H998">
        <v>81.73</v>
      </c>
      <c r="I998">
        <v>56.67</v>
      </c>
      <c r="J998">
        <v>49364.920000000006</v>
      </c>
      <c r="K998">
        <v>34228.68</v>
      </c>
    </row>
    <row r="999" spans="1:11" x14ac:dyDescent="0.35">
      <c r="A999" t="s">
        <v>963</v>
      </c>
      <c r="B999" t="s">
        <v>974</v>
      </c>
      <c r="C999" t="s">
        <v>19</v>
      </c>
      <c r="D999" s="1">
        <v>43950</v>
      </c>
      <c r="E999">
        <v>280876481</v>
      </c>
      <c r="F999" s="1">
        <v>43982</v>
      </c>
      <c r="G999">
        <v>6447</v>
      </c>
      <c r="H999">
        <v>9.33</v>
      </c>
      <c r="I999">
        <v>6.92</v>
      </c>
      <c r="J999">
        <v>60150.51</v>
      </c>
      <c r="K999">
        <v>44613.24</v>
      </c>
    </row>
    <row r="1000" spans="1:11" x14ac:dyDescent="0.35">
      <c r="A1000" t="s">
        <v>964</v>
      </c>
      <c r="B1000" t="s">
        <v>986</v>
      </c>
      <c r="C1000" t="s">
        <v>17</v>
      </c>
      <c r="D1000" s="1">
        <v>44083</v>
      </c>
      <c r="E1000">
        <v>860852038</v>
      </c>
      <c r="F1000" s="1">
        <v>44089</v>
      </c>
      <c r="G1000">
        <v>4103</v>
      </c>
      <c r="H1000">
        <v>154.06</v>
      </c>
      <c r="I1000">
        <v>90.93</v>
      </c>
      <c r="J1000">
        <v>632108.18000000005</v>
      </c>
      <c r="K1000">
        <v>373085.79000000004</v>
      </c>
    </row>
    <row r="1001" spans="1:11" x14ac:dyDescent="0.35">
      <c r="A1001" t="s">
        <v>965</v>
      </c>
      <c r="B1001" t="s">
        <v>988</v>
      </c>
      <c r="C1001" t="s">
        <v>12</v>
      </c>
      <c r="D1001" s="1">
        <v>44583</v>
      </c>
      <c r="E1001">
        <v>279311788</v>
      </c>
      <c r="F1001" s="1">
        <v>44593</v>
      </c>
      <c r="G1001">
        <v>3420</v>
      </c>
      <c r="H1001">
        <v>109.28</v>
      </c>
      <c r="I1001">
        <v>35.840000000000003</v>
      </c>
      <c r="J1001">
        <v>373737.6</v>
      </c>
      <c r="K1001">
        <v>122572.80000000002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EA78-C061-4742-B57C-B3BCA443D18A}">
  <dimension ref="A1:C952"/>
  <sheetViews>
    <sheetView workbookViewId="0">
      <selection activeCell="B3" sqref="B3"/>
    </sheetView>
  </sheetViews>
  <sheetFormatPr baseColWidth="10" defaultRowHeight="14.5" x14ac:dyDescent="0.35"/>
  <cols>
    <col min="1" max="1" width="11.36328125" bestFit="1" customWidth="1"/>
    <col min="2" max="2" width="20" bestFit="1" customWidth="1"/>
    <col min="3" max="3" width="28.453125" bestFit="1" customWidth="1"/>
    <col min="4" max="4" width="10.36328125" bestFit="1" customWidth="1"/>
    <col min="5" max="5" width="20" bestFit="1" customWidth="1"/>
    <col min="6" max="6" width="28.453125" bestFit="1" customWidth="1"/>
  </cols>
  <sheetData>
    <row r="1" spans="1:3" x14ac:dyDescent="0.35">
      <c r="A1" t="s">
        <v>0</v>
      </c>
      <c r="B1" t="s">
        <v>992</v>
      </c>
      <c r="C1" t="s">
        <v>993</v>
      </c>
    </row>
    <row r="2" spans="1:3" x14ac:dyDescent="0.35">
      <c r="A2" t="s">
        <v>270</v>
      </c>
      <c r="B2" t="s">
        <v>1017</v>
      </c>
      <c r="C2" t="s">
        <v>1143</v>
      </c>
    </row>
    <row r="3" spans="1:3" x14ac:dyDescent="0.35">
      <c r="A3" t="s">
        <v>284</v>
      </c>
      <c r="B3" t="s">
        <v>994</v>
      </c>
      <c r="C3" t="s">
        <v>1145</v>
      </c>
    </row>
    <row r="4" spans="1:3" x14ac:dyDescent="0.35">
      <c r="A4" t="s">
        <v>394</v>
      </c>
      <c r="B4" t="s">
        <v>1001</v>
      </c>
      <c r="C4" t="s">
        <v>1091</v>
      </c>
    </row>
    <row r="5" spans="1:3" x14ac:dyDescent="0.35">
      <c r="A5" t="s">
        <v>678</v>
      </c>
      <c r="B5" t="s">
        <v>999</v>
      </c>
      <c r="C5" t="s">
        <v>1111</v>
      </c>
    </row>
    <row r="6" spans="1:3" x14ac:dyDescent="0.35">
      <c r="A6" t="s">
        <v>168</v>
      </c>
      <c r="B6" t="s">
        <v>999</v>
      </c>
      <c r="C6" t="s">
        <v>1073</v>
      </c>
    </row>
    <row r="7" spans="1:3" x14ac:dyDescent="0.35">
      <c r="A7" t="s">
        <v>590</v>
      </c>
      <c r="B7" t="s">
        <v>1017</v>
      </c>
      <c r="C7" t="s">
        <v>1100</v>
      </c>
    </row>
    <row r="8" spans="1:3" x14ac:dyDescent="0.35">
      <c r="A8" t="s">
        <v>225</v>
      </c>
      <c r="B8" t="s">
        <v>1017</v>
      </c>
      <c r="C8" t="s">
        <v>1124</v>
      </c>
    </row>
    <row r="9" spans="1:3" x14ac:dyDescent="0.35">
      <c r="A9" t="s">
        <v>714</v>
      </c>
      <c r="B9" t="s">
        <v>994</v>
      </c>
      <c r="C9" t="s">
        <v>1064</v>
      </c>
    </row>
    <row r="10" spans="1:3" x14ac:dyDescent="0.35">
      <c r="A10" t="s">
        <v>275</v>
      </c>
      <c r="B10" t="s">
        <v>997</v>
      </c>
      <c r="C10" t="s">
        <v>1063</v>
      </c>
    </row>
    <row r="11" spans="1:3" x14ac:dyDescent="0.35">
      <c r="A11" t="s">
        <v>758</v>
      </c>
      <c r="B11" t="s">
        <v>999</v>
      </c>
      <c r="C11" t="s">
        <v>1084</v>
      </c>
    </row>
    <row r="12" spans="1:3" x14ac:dyDescent="0.35">
      <c r="A12" t="s">
        <v>625</v>
      </c>
      <c r="B12" t="s">
        <v>994</v>
      </c>
      <c r="C12" t="s">
        <v>1026</v>
      </c>
    </row>
    <row r="13" spans="1:3" x14ac:dyDescent="0.35">
      <c r="A13" t="s">
        <v>673</v>
      </c>
      <c r="B13" t="s">
        <v>994</v>
      </c>
      <c r="C13" t="s">
        <v>1153</v>
      </c>
    </row>
    <row r="14" spans="1:3" x14ac:dyDescent="0.35">
      <c r="A14" t="s">
        <v>820</v>
      </c>
      <c r="B14" t="s">
        <v>994</v>
      </c>
      <c r="C14" t="s">
        <v>1182</v>
      </c>
    </row>
    <row r="15" spans="1:3" x14ac:dyDescent="0.35">
      <c r="A15" t="s">
        <v>61</v>
      </c>
      <c r="B15" t="s">
        <v>1001</v>
      </c>
      <c r="C15" t="s">
        <v>1040</v>
      </c>
    </row>
    <row r="16" spans="1:3" x14ac:dyDescent="0.35">
      <c r="A16" t="s">
        <v>957</v>
      </c>
      <c r="B16" t="s">
        <v>994</v>
      </c>
      <c r="C16" t="s">
        <v>1026</v>
      </c>
    </row>
    <row r="17" spans="1:3" x14ac:dyDescent="0.35">
      <c r="A17" t="s">
        <v>298</v>
      </c>
      <c r="B17" t="s">
        <v>994</v>
      </c>
      <c r="C17" t="s">
        <v>1119</v>
      </c>
    </row>
    <row r="18" spans="1:3" x14ac:dyDescent="0.35">
      <c r="A18" t="s">
        <v>736</v>
      </c>
      <c r="B18" t="s">
        <v>999</v>
      </c>
      <c r="C18" t="s">
        <v>1136</v>
      </c>
    </row>
    <row r="19" spans="1:3" x14ac:dyDescent="0.35">
      <c r="A19" t="s">
        <v>402</v>
      </c>
      <c r="B19" t="s">
        <v>999</v>
      </c>
      <c r="C19" t="s">
        <v>1089</v>
      </c>
    </row>
    <row r="20" spans="1:3" x14ac:dyDescent="0.35">
      <c r="A20" t="s">
        <v>473</v>
      </c>
      <c r="B20" t="s">
        <v>999</v>
      </c>
      <c r="C20" t="s">
        <v>1089</v>
      </c>
    </row>
    <row r="21" spans="1:3" x14ac:dyDescent="0.35">
      <c r="A21" t="s">
        <v>518</v>
      </c>
      <c r="B21" t="s">
        <v>999</v>
      </c>
      <c r="C21" t="s">
        <v>1030</v>
      </c>
    </row>
    <row r="22" spans="1:3" x14ac:dyDescent="0.35">
      <c r="A22" t="s">
        <v>918</v>
      </c>
      <c r="B22" t="s">
        <v>1001</v>
      </c>
      <c r="C22" t="s">
        <v>1118</v>
      </c>
    </row>
    <row r="23" spans="1:3" x14ac:dyDescent="0.35">
      <c r="A23" t="s">
        <v>231</v>
      </c>
      <c r="B23" t="s">
        <v>999</v>
      </c>
      <c r="C23" t="s">
        <v>1089</v>
      </c>
    </row>
    <row r="24" spans="1:3" x14ac:dyDescent="0.35">
      <c r="A24" t="s">
        <v>203</v>
      </c>
      <c r="B24" t="s">
        <v>994</v>
      </c>
      <c r="C24" t="s">
        <v>1080</v>
      </c>
    </row>
    <row r="25" spans="1:3" x14ac:dyDescent="0.35">
      <c r="A25" t="s">
        <v>717</v>
      </c>
      <c r="B25" t="s">
        <v>1017</v>
      </c>
      <c r="C25" t="s">
        <v>1094</v>
      </c>
    </row>
    <row r="26" spans="1:3" x14ac:dyDescent="0.35">
      <c r="A26" t="s">
        <v>29</v>
      </c>
      <c r="B26" t="s">
        <v>999</v>
      </c>
      <c r="C26" t="s">
        <v>1012</v>
      </c>
    </row>
    <row r="27" spans="1:3" x14ac:dyDescent="0.35">
      <c r="A27" t="s">
        <v>600</v>
      </c>
      <c r="B27" t="s">
        <v>994</v>
      </c>
      <c r="C27" t="s">
        <v>1072</v>
      </c>
    </row>
    <row r="28" spans="1:3" x14ac:dyDescent="0.35">
      <c r="A28" t="s">
        <v>524</v>
      </c>
      <c r="B28" t="s">
        <v>994</v>
      </c>
      <c r="C28" t="s">
        <v>1145</v>
      </c>
    </row>
    <row r="29" spans="1:3" x14ac:dyDescent="0.35">
      <c r="A29" t="s">
        <v>150</v>
      </c>
      <c r="B29" t="s">
        <v>999</v>
      </c>
      <c r="C29" t="s">
        <v>1009</v>
      </c>
    </row>
    <row r="30" spans="1:3" x14ac:dyDescent="0.35">
      <c r="A30" t="s">
        <v>786</v>
      </c>
      <c r="B30" t="s">
        <v>1017</v>
      </c>
      <c r="C30" t="s">
        <v>1053</v>
      </c>
    </row>
    <row r="31" spans="1:3" x14ac:dyDescent="0.35">
      <c r="A31" t="s">
        <v>248</v>
      </c>
      <c r="B31" t="s">
        <v>999</v>
      </c>
      <c r="C31" t="s">
        <v>1025</v>
      </c>
    </row>
    <row r="32" spans="1:3" x14ac:dyDescent="0.35">
      <c r="A32" t="s">
        <v>874</v>
      </c>
      <c r="B32" t="s">
        <v>999</v>
      </c>
      <c r="C32" t="s">
        <v>1107</v>
      </c>
    </row>
    <row r="33" spans="1:3" x14ac:dyDescent="0.35">
      <c r="A33" t="s">
        <v>530</v>
      </c>
      <c r="B33" t="s">
        <v>1017</v>
      </c>
      <c r="C33" t="s">
        <v>1061</v>
      </c>
    </row>
    <row r="34" spans="1:3" x14ac:dyDescent="0.35">
      <c r="A34" t="s">
        <v>688</v>
      </c>
      <c r="B34" t="s">
        <v>1001</v>
      </c>
      <c r="C34" t="s">
        <v>1174</v>
      </c>
    </row>
    <row r="35" spans="1:3" x14ac:dyDescent="0.35">
      <c r="A35" t="s">
        <v>56</v>
      </c>
      <c r="B35" t="s">
        <v>1017</v>
      </c>
      <c r="C35" t="s">
        <v>1036</v>
      </c>
    </row>
    <row r="36" spans="1:3" x14ac:dyDescent="0.35">
      <c r="A36" t="s">
        <v>620</v>
      </c>
      <c r="B36" t="s">
        <v>994</v>
      </c>
      <c r="C36" t="s">
        <v>1149</v>
      </c>
    </row>
    <row r="37" spans="1:3" x14ac:dyDescent="0.35">
      <c r="A37" t="s">
        <v>749</v>
      </c>
      <c r="B37" t="s">
        <v>997</v>
      </c>
      <c r="C37" t="s">
        <v>1115</v>
      </c>
    </row>
    <row r="38" spans="1:3" x14ac:dyDescent="0.35">
      <c r="A38" t="s">
        <v>578</v>
      </c>
      <c r="B38" t="s">
        <v>999</v>
      </c>
      <c r="C38" t="s">
        <v>1175</v>
      </c>
    </row>
    <row r="39" spans="1:3" x14ac:dyDescent="0.35">
      <c r="A39" t="s">
        <v>241</v>
      </c>
      <c r="B39" t="s">
        <v>999</v>
      </c>
      <c r="C39" t="s">
        <v>1051</v>
      </c>
    </row>
    <row r="40" spans="1:3" x14ac:dyDescent="0.35">
      <c r="A40" t="s">
        <v>836</v>
      </c>
      <c r="B40" t="s">
        <v>1017</v>
      </c>
      <c r="C40" t="s">
        <v>1094</v>
      </c>
    </row>
    <row r="41" spans="1:3" x14ac:dyDescent="0.35">
      <c r="A41" t="s">
        <v>199</v>
      </c>
      <c r="B41" t="s">
        <v>994</v>
      </c>
      <c r="C41" t="s">
        <v>1119</v>
      </c>
    </row>
    <row r="42" spans="1:3" x14ac:dyDescent="0.35">
      <c r="A42" t="s">
        <v>693</v>
      </c>
      <c r="B42" t="s">
        <v>1001</v>
      </c>
      <c r="C42" t="s">
        <v>1055</v>
      </c>
    </row>
    <row r="43" spans="1:3" x14ac:dyDescent="0.35">
      <c r="A43" t="s">
        <v>179</v>
      </c>
      <c r="B43" t="s">
        <v>999</v>
      </c>
      <c r="C43" t="s">
        <v>1110</v>
      </c>
    </row>
    <row r="44" spans="1:3" x14ac:dyDescent="0.35">
      <c r="A44" t="s">
        <v>393</v>
      </c>
      <c r="B44" t="s">
        <v>994</v>
      </c>
      <c r="C44" t="s">
        <v>1064</v>
      </c>
    </row>
    <row r="45" spans="1:3" x14ac:dyDescent="0.35">
      <c r="A45" t="s">
        <v>960</v>
      </c>
      <c r="B45" t="s">
        <v>1001</v>
      </c>
      <c r="C45" t="s">
        <v>1155</v>
      </c>
    </row>
    <row r="46" spans="1:3" x14ac:dyDescent="0.35">
      <c r="A46" t="s">
        <v>37</v>
      </c>
      <c r="B46" t="s">
        <v>1017</v>
      </c>
      <c r="C46" t="s">
        <v>1021</v>
      </c>
    </row>
    <row r="47" spans="1:3" x14ac:dyDescent="0.35">
      <c r="A47" t="s">
        <v>330</v>
      </c>
      <c r="B47" t="s">
        <v>999</v>
      </c>
      <c r="C47" t="s">
        <v>1150</v>
      </c>
    </row>
    <row r="48" spans="1:3" x14ac:dyDescent="0.35">
      <c r="A48" t="s">
        <v>325</v>
      </c>
      <c r="B48" t="s">
        <v>1017</v>
      </c>
      <c r="C48" t="s">
        <v>1028</v>
      </c>
    </row>
    <row r="49" spans="1:3" x14ac:dyDescent="0.35">
      <c r="A49" t="s">
        <v>39</v>
      </c>
      <c r="B49" t="s">
        <v>999</v>
      </c>
      <c r="C49" t="s">
        <v>1023</v>
      </c>
    </row>
    <row r="50" spans="1:3" x14ac:dyDescent="0.35">
      <c r="A50" t="s">
        <v>92</v>
      </c>
      <c r="B50" t="s">
        <v>997</v>
      </c>
      <c r="C50" t="s">
        <v>1063</v>
      </c>
    </row>
    <row r="51" spans="1:3" x14ac:dyDescent="0.35">
      <c r="A51" t="s">
        <v>687</v>
      </c>
      <c r="B51" t="s">
        <v>994</v>
      </c>
      <c r="C51" t="s">
        <v>1149</v>
      </c>
    </row>
    <row r="52" spans="1:3" x14ac:dyDescent="0.35">
      <c r="A52" t="s">
        <v>290</v>
      </c>
      <c r="B52" t="s">
        <v>999</v>
      </c>
      <c r="C52" t="s">
        <v>1097</v>
      </c>
    </row>
    <row r="53" spans="1:3" x14ac:dyDescent="0.35">
      <c r="A53" t="s">
        <v>581</v>
      </c>
      <c r="B53" t="s">
        <v>999</v>
      </c>
      <c r="C53" t="s">
        <v>1102</v>
      </c>
    </row>
    <row r="54" spans="1:3" x14ac:dyDescent="0.35">
      <c r="A54" t="s">
        <v>803</v>
      </c>
      <c r="B54" t="s">
        <v>994</v>
      </c>
      <c r="C54" t="s">
        <v>1052</v>
      </c>
    </row>
    <row r="55" spans="1:3" x14ac:dyDescent="0.35">
      <c r="A55" t="s">
        <v>952</v>
      </c>
      <c r="B55" t="s">
        <v>994</v>
      </c>
      <c r="C55" t="s">
        <v>1049</v>
      </c>
    </row>
    <row r="56" spans="1:3" x14ac:dyDescent="0.35">
      <c r="A56" t="s">
        <v>914</v>
      </c>
      <c r="B56" t="s">
        <v>1001</v>
      </c>
      <c r="C56" t="s">
        <v>1045</v>
      </c>
    </row>
    <row r="57" spans="1:3" x14ac:dyDescent="0.35">
      <c r="A57" t="s">
        <v>773</v>
      </c>
      <c r="B57" t="s">
        <v>999</v>
      </c>
      <c r="C57" t="s">
        <v>1067</v>
      </c>
    </row>
    <row r="58" spans="1:3" x14ac:dyDescent="0.35">
      <c r="A58" t="s">
        <v>537</v>
      </c>
      <c r="B58" t="s">
        <v>1001</v>
      </c>
      <c r="C58" t="s">
        <v>1174</v>
      </c>
    </row>
    <row r="59" spans="1:3" x14ac:dyDescent="0.35">
      <c r="A59" t="s">
        <v>289</v>
      </c>
      <c r="B59" t="s">
        <v>1017</v>
      </c>
      <c r="C59" t="s">
        <v>1018</v>
      </c>
    </row>
    <row r="60" spans="1:3" x14ac:dyDescent="0.35">
      <c r="A60" t="s">
        <v>100</v>
      </c>
      <c r="B60" t="s">
        <v>994</v>
      </c>
      <c r="C60" t="s">
        <v>1048</v>
      </c>
    </row>
    <row r="61" spans="1:3" x14ac:dyDescent="0.35">
      <c r="A61" t="s">
        <v>763</v>
      </c>
      <c r="B61" t="s">
        <v>999</v>
      </c>
      <c r="C61" t="s">
        <v>1147</v>
      </c>
    </row>
    <row r="62" spans="1:3" x14ac:dyDescent="0.35">
      <c r="A62" t="s">
        <v>850</v>
      </c>
      <c r="B62" t="s">
        <v>999</v>
      </c>
      <c r="C62" t="s">
        <v>1025</v>
      </c>
    </row>
    <row r="63" spans="1:3" x14ac:dyDescent="0.35">
      <c r="A63" t="s">
        <v>920</v>
      </c>
      <c r="B63" t="s">
        <v>997</v>
      </c>
      <c r="C63" t="s">
        <v>1006</v>
      </c>
    </row>
    <row r="64" spans="1:3" x14ac:dyDescent="0.35">
      <c r="A64" t="s">
        <v>586</v>
      </c>
      <c r="B64" t="s">
        <v>999</v>
      </c>
      <c r="C64" t="s">
        <v>1035</v>
      </c>
    </row>
    <row r="65" spans="1:3" x14ac:dyDescent="0.35">
      <c r="A65" t="s">
        <v>779</v>
      </c>
      <c r="B65" t="s">
        <v>997</v>
      </c>
      <c r="C65" t="s">
        <v>1027</v>
      </c>
    </row>
    <row r="66" spans="1:3" x14ac:dyDescent="0.35">
      <c r="A66" t="s">
        <v>200</v>
      </c>
      <c r="B66" t="s">
        <v>994</v>
      </c>
      <c r="C66" t="s">
        <v>1117</v>
      </c>
    </row>
    <row r="67" spans="1:3" x14ac:dyDescent="0.35">
      <c r="A67" t="s">
        <v>805</v>
      </c>
      <c r="B67" t="s">
        <v>994</v>
      </c>
      <c r="C67" t="s">
        <v>1166</v>
      </c>
    </row>
    <row r="68" spans="1:3" x14ac:dyDescent="0.35">
      <c r="A68" t="s">
        <v>680</v>
      </c>
      <c r="B68" t="s">
        <v>999</v>
      </c>
      <c r="C68" t="s">
        <v>1054</v>
      </c>
    </row>
    <row r="69" spans="1:3" x14ac:dyDescent="0.35">
      <c r="A69" t="s">
        <v>829</v>
      </c>
      <c r="B69" t="s">
        <v>997</v>
      </c>
      <c r="C69" t="s">
        <v>1126</v>
      </c>
    </row>
    <row r="70" spans="1:3" x14ac:dyDescent="0.35">
      <c r="A70" t="s">
        <v>804</v>
      </c>
      <c r="B70" t="s">
        <v>1001</v>
      </c>
      <c r="C70" t="s">
        <v>1118</v>
      </c>
    </row>
    <row r="71" spans="1:3" x14ac:dyDescent="0.35">
      <c r="A71" t="s">
        <v>377</v>
      </c>
      <c r="B71" t="s">
        <v>1017</v>
      </c>
      <c r="C71" t="s">
        <v>1094</v>
      </c>
    </row>
    <row r="72" spans="1:3" x14ac:dyDescent="0.35">
      <c r="A72" t="s">
        <v>839</v>
      </c>
      <c r="B72" t="s">
        <v>1017</v>
      </c>
      <c r="C72" t="s">
        <v>1060</v>
      </c>
    </row>
    <row r="73" spans="1:3" x14ac:dyDescent="0.35">
      <c r="A73" t="s">
        <v>513</v>
      </c>
      <c r="B73" t="s">
        <v>997</v>
      </c>
      <c r="C73" t="s">
        <v>1121</v>
      </c>
    </row>
    <row r="74" spans="1:3" x14ac:dyDescent="0.35">
      <c r="A74" t="s">
        <v>666</v>
      </c>
      <c r="B74" t="s">
        <v>999</v>
      </c>
      <c r="C74" t="s">
        <v>1114</v>
      </c>
    </row>
    <row r="75" spans="1:3" x14ac:dyDescent="0.35">
      <c r="A75" t="s">
        <v>359</v>
      </c>
      <c r="B75" t="s">
        <v>997</v>
      </c>
      <c r="C75" t="s">
        <v>1071</v>
      </c>
    </row>
    <row r="76" spans="1:3" x14ac:dyDescent="0.35">
      <c r="A76" t="s">
        <v>961</v>
      </c>
      <c r="B76" t="s">
        <v>999</v>
      </c>
      <c r="C76" t="s">
        <v>1092</v>
      </c>
    </row>
    <row r="77" spans="1:3" x14ac:dyDescent="0.35">
      <c r="A77" t="s">
        <v>249</v>
      </c>
      <c r="B77" t="s">
        <v>997</v>
      </c>
      <c r="C77" t="s">
        <v>1042</v>
      </c>
    </row>
    <row r="78" spans="1:3" x14ac:dyDescent="0.35">
      <c r="A78" t="s">
        <v>939</v>
      </c>
      <c r="B78" t="s">
        <v>999</v>
      </c>
      <c r="C78" t="s">
        <v>1130</v>
      </c>
    </row>
    <row r="79" spans="1:3" x14ac:dyDescent="0.35">
      <c r="A79" t="s">
        <v>358</v>
      </c>
      <c r="B79" t="s">
        <v>999</v>
      </c>
      <c r="C79" t="s">
        <v>1000</v>
      </c>
    </row>
    <row r="80" spans="1:3" x14ac:dyDescent="0.35">
      <c r="A80" t="s">
        <v>335</v>
      </c>
      <c r="B80" t="s">
        <v>1017</v>
      </c>
      <c r="C80" t="s">
        <v>1034</v>
      </c>
    </row>
    <row r="81" spans="1:3" x14ac:dyDescent="0.35">
      <c r="A81" t="s">
        <v>754</v>
      </c>
      <c r="B81" t="s">
        <v>994</v>
      </c>
      <c r="C81" t="s">
        <v>995</v>
      </c>
    </row>
    <row r="82" spans="1:3" x14ac:dyDescent="0.35">
      <c r="A82" t="s">
        <v>828</v>
      </c>
      <c r="B82" t="s">
        <v>997</v>
      </c>
      <c r="C82" t="s">
        <v>1071</v>
      </c>
    </row>
    <row r="83" spans="1:3" x14ac:dyDescent="0.35">
      <c r="A83" t="s">
        <v>682</v>
      </c>
      <c r="B83" t="s">
        <v>997</v>
      </c>
      <c r="C83" t="s">
        <v>1038</v>
      </c>
    </row>
    <row r="84" spans="1:3" x14ac:dyDescent="0.35">
      <c r="A84" t="s">
        <v>166</v>
      </c>
      <c r="B84" t="s">
        <v>997</v>
      </c>
      <c r="C84" t="s">
        <v>1014</v>
      </c>
    </row>
    <row r="85" spans="1:3" x14ac:dyDescent="0.35">
      <c r="A85" t="s">
        <v>230</v>
      </c>
      <c r="B85" t="s">
        <v>994</v>
      </c>
      <c r="C85" t="s">
        <v>1125</v>
      </c>
    </row>
    <row r="86" spans="1:3" x14ac:dyDescent="0.35">
      <c r="A86" t="s">
        <v>543</v>
      </c>
      <c r="B86" t="s">
        <v>1017</v>
      </c>
      <c r="C86" t="s">
        <v>1085</v>
      </c>
    </row>
    <row r="87" spans="1:3" x14ac:dyDescent="0.35">
      <c r="A87" t="s">
        <v>242</v>
      </c>
      <c r="B87" t="s">
        <v>999</v>
      </c>
      <c r="C87" t="s">
        <v>1032</v>
      </c>
    </row>
    <row r="88" spans="1:3" x14ac:dyDescent="0.35">
      <c r="A88" t="s">
        <v>609</v>
      </c>
      <c r="B88" t="s">
        <v>1017</v>
      </c>
      <c r="C88" t="s">
        <v>1043</v>
      </c>
    </row>
    <row r="89" spans="1:3" x14ac:dyDescent="0.35">
      <c r="A89" t="s">
        <v>769</v>
      </c>
      <c r="B89" t="s">
        <v>999</v>
      </c>
      <c r="C89" t="s">
        <v>1090</v>
      </c>
    </row>
    <row r="90" spans="1:3" x14ac:dyDescent="0.35">
      <c r="A90" t="s">
        <v>178</v>
      </c>
      <c r="B90" t="s">
        <v>1017</v>
      </c>
      <c r="C90" t="s">
        <v>1059</v>
      </c>
    </row>
    <row r="91" spans="1:3" x14ac:dyDescent="0.35">
      <c r="A91" t="s">
        <v>611</v>
      </c>
      <c r="B91" t="s">
        <v>999</v>
      </c>
      <c r="C91" t="s">
        <v>1177</v>
      </c>
    </row>
    <row r="92" spans="1:3" x14ac:dyDescent="0.35">
      <c r="A92" t="s">
        <v>336</v>
      </c>
      <c r="B92" t="s">
        <v>1017</v>
      </c>
      <c r="C92" t="s">
        <v>1036</v>
      </c>
    </row>
    <row r="93" spans="1:3" x14ac:dyDescent="0.35">
      <c r="A93" t="s">
        <v>71</v>
      </c>
      <c r="B93" t="s">
        <v>994</v>
      </c>
      <c r="C93" t="s">
        <v>1047</v>
      </c>
    </row>
    <row r="94" spans="1:3" x14ac:dyDescent="0.35">
      <c r="A94" t="s">
        <v>597</v>
      </c>
      <c r="B94" t="s">
        <v>1001</v>
      </c>
      <c r="C94" t="s">
        <v>1174</v>
      </c>
    </row>
    <row r="95" spans="1:3" x14ac:dyDescent="0.35">
      <c r="A95" t="s">
        <v>126</v>
      </c>
      <c r="B95" t="s">
        <v>999</v>
      </c>
      <c r="C95" t="s">
        <v>1023</v>
      </c>
    </row>
    <row r="96" spans="1:3" x14ac:dyDescent="0.35">
      <c r="A96" t="s">
        <v>127</v>
      </c>
      <c r="B96" t="s">
        <v>999</v>
      </c>
      <c r="C96" t="s">
        <v>1084</v>
      </c>
    </row>
    <row r="97" spans="1:3" x14ac:dyDescent="0.35">
      <c r="A97" t="s">
        <v>495</v>
      </c>
      <c r="B97" t="s">
        <v>994</v>
      </c>
      <c r="C97" t="s">
        <v>1062</v>
      </c>
    </row>
    <row r="98" spans="1:3" x14ac:dyDescent="0.35">
      <c r="A98" t="s">
        <v>653</v>
      </c>
      <c r="B98" t="s">
        <v>999</v>
      </c>
      <c r="C98" t="s">
        <v>1032</v>
      </c>
    </row>
    <row r="99" spans="1:3" x14ac:dyDescent="0.35">
      <c r="A99" t="s">
        <v>783</v>
      </c>
      <c r="B99" t="s">
        <v>994</v>
      </c>
      <c r="C99" t="s">
        <v>1078</v>
      </c>
    </row>
    <row r="100" spans="1:3" x14ac:dyDescent="0.35">
      <c r="A100" t="s">
        <v>491</v>
      </c>
      <c r="B100" t="s">
        <v>999</v>
      </c>
      <c r="C100" t="s">
        <v>1011</v>
      </c>
    </row>
    <row r="101" spans="1:3" x14ac:dyDescent="0.35">
      <c r="A101" t="s">
        <v>234</v>
      </c>
      <c r="B101" t="s">
        <v>1017</v>
      </c>
      <c r="C101" t="s">
        <v>1127</v>
      </c>
    </row>
    <row r="102" spans="1:3" x14ac:dyDescent="0.35">
      <c r="A102" t="s">
        <v>339</v>
      </c>
      <c r="B102" t="s">
        <v>1001</v>
      </c>
      <c r="C102" t="s">
        <v>1091</v>
      </c>
    </row>
    <row r="103" spans="1:3" x14ac:dyDescent="0.35">
      <c r="A103" t="s">
        <v>789</v>
      </c>
      <c r="B103" t="s">
        <v>999</v>
      </c>
      <c r="C103" t="s">
        <v>1090</v>
      </c>
    </row>
    <row r="104" spans="1:3" x14ac:dyDescent="0.35">
      <c r="A104" t="s">
        <v>677</v>
      </c>
      <c r="B104" t="s">
        <v>1001</v>
      </c>
      <c r="C104" t="s">
        <v>1091</v>
      </c>
    </row>
    <row r="105" spans="1:3" x14ac:dyDescent="0.35">
      <c r="A105" t="s">
        <v>332</v>
      </c>
      <c r="B105" t="s">
        <v>994</v>
      </c>
      <c r="C105" t="s">
        <v>1117</v>
      </c>
    </row>
    <row r="106" spans="1:3" x14ac:dyDescent="0.35">
      <c r="A106" t="s">
        <v>536</v>
      </c>
      <c r="B106" t="s">
        <v>1017</v>
      </c>
      <c r="C106" t="s">
        <v>1142</v>
      </c>
    </row>
    <row r="107" spans="1:3" x14ac:dyDescent="0.35">
      <c r="A107" t="s">
        <v>748</v>
      </c>
      <c r="B107" t="s">
        <v>999</v>
      </c>
      <c r="C107" t="s">
        <v>1183</v>
      </c>
    </row>
    <row r="108" spans="1:3" x14ac:dyDescent="0.35">
      <c r="A108" t="s">
        <v>943</v>
      </c>
      <c r="B108" t="s">
        <v>1017</v>
      </c>
      <c r="C108" t="s">
        <v>1172</v>
      </c>
    </row>
    <row r="109" spans="1:3" x14ac:dyDescent="0.35">
      <c r="A109" t="s">
        <v>274</v>
      </c>
      <c r="B109" t="s">
        <v>994</v>
      </c>
      <c r="C109" t="s">
        <v>1117</v>
      </c>
    </row>
    <row r="110" spans="1:3" x14ac:dyDescent="0.35">
      <c r="A110" t="s">
        <v>665</v>
      </c>
      <c r="B110" t="s">
        <v>1017</v>
      </c>
      <c r="C110" t="s">
        <v>1021</v>
      </c>
    </row>
    <row r="111" spans="1:3" x14ac:dyDescent="0.35">
      <c r="A111" t="s">
        <v>196</v>
      </c>
      <c r="B111" t="s">
        <v>1007</v>
      </c>
      <c r="C111" t="s">
        <v>1008</v>
      </c>
    </row>
    <row r="112" spans="1:3" x14ac:dyDescent="0.35">
      <c r="A112" t="s">
        <v>885</v>
      </c>
      <c r="B112" t="s">
        <v>994</v>
      </c>
      <c r="C112" t="s">
        <v>1052</v>
      </c>
    </row>
    <row r="113" spans="1:3" x14ac:dyDescent="0.35">
      <c r="A113" t="s">
        <v>314</v>
      </c>
      <c r="B113" t="s">
        <v>997</v>
      </c>
      <c r="C113" t="s">
        <v>1121</v>
      </c>
    </row>
    <row r="114" spans="1:3" x14ac:dyDescent="0.35">
      <c r="A114" t="s">
        <v>13</v>
      </c>
      <c r="B114" t="s">
        <v>994</v>
      </c>
      <c r="C114" t="s">
        <v>996</v>
      </c>
    </row>
    <row r="115" spans="1:3" x14ac:dyDescent="0.35">
      <c r="A115" t="s">
        <v>887</v>
      </c>
      <c r="B115" t="s">
        <v>994</v>
      </c>
      <c r="C115" t="s">
        <v>1064</v>
      </c>
    </row>
    <row r="116" spans="1:3" x14ac:dyDescent="0.35">
      <c r="A116" t="s">
        <v>109</v>
      </c>
      <c r="B116" t="s">
        <v>994</v>
      </c>
      <c r="C116" t="s">
        <v>1074</v>
      </c>
    </row>
    <row r="117" spans="1:3" x14ac:dyDescent="0.35">
      <c r="A117" t="s">
        <v>860</v>
      </c>
      <c r="B117" t="s">
        <v>999</v>
      </c>
      <c r="C117" t="s">
        <v>1177</v>
      </c>
    </row>
    <row r="118" spans="1:3" x14ac:dyDescent="0.35">
      <c r="A118" t="s">
        <v>47</v>
      </c>
      <c r="B118" t="s">
        <v>994</v>
      </c>
      <c r="C118" t="s">
        <v>1029</v>
      </c>
    </row>
    <row r="119" spans="1:3" x14ac:dyDescent="0.35">
      <c r="A119" t="s">
        <v>738</v>
      </c>
      <c r="B119" t="s">
        <v>997</v>
      </c>
      <c r="C119" t="s">
        <v>1004</v>
      </c>
    </row>
    <row r="120" spans="1:3" x14ac:dyDescent="0.35">
      <c r="A120" t="s">
        <v>279</v>
      </c>
      <c r="B120" t="s">
        <v>994</v>
      </c>
      <c r="C120" t="s">
        <v>1125</v>
      </c>
    </row>
    <row r="121" spans="1:3" x14ac:dyDescent="0.35">
      <c r="A121" t="s">
        <v>475</v>
      </c>
      <c r="B121" t="s">
        <v>994</v>
      </c>
      <c r="C121" t="s">
        <v>1077</v>
      </c>
    </row>
    <row r="122" spans="1:3" x14ac:dyDescent="0.35">
      <c r="A122" t="s">
        <v>917</v>
      </c>
      <c r="B122" t="s">
        <v>994</v>
      </c>
      <c r="C122" t="s">
        <v>1171</v>
      </c>
    </row>
    <row r="123" spans="1:3" x14ac:dyDescent="0.35">
      <c r="A123" t="s">
        <v>814</v>
      </c>
      <c r="B123" t="s">
        <v>999</v>
      </c>
      <c r="C123" t="s">
        <v>1176</v>
      </c>
    </row>
    <row r="124" spans="1:3" x14ac:dyDescent="0.35">
      <c r="A124" t="s">
        <v>262</v>
      </c>
      <c r="B124" t="s">
        <v>999</v>
      </c>
      <c r="C124" t="s">
        <v>1013</v>
      </c>
    </row>
    <row r="125" spans="1:3" x14ac:dyDescent="0.35">
      <c r="A125" t="s">
        <v>790</v>
      </c>
      <c r="B125" t="s">
        <v>994</v>
      </c>
      <c r="C125" t="s">
        <v>1145</v>
      </c>
    </row>
    <row r="126" spans="1:3" x14ac:dyDescent="0.35">
      <c r="A126" t="s">
        <v>435</v>
      </c>
      <c r="B126" t="s">
        <v>1017</v>
      </c>
      <c r="C126" t="s">
        <v>1043</v>
      </c>
    </row>
    <row r="127" spans="1:3" x14ac:dyDescent="0.35">
      <c r="A127" t="s">
        <v>119</v>
      </c>
      <c r="B127" t="s">
        <v>999</v>
      </c>
      <c r="C127" t="s">
        <v>1079</v>
      </c>
    </row>
    <row r="128" spans="1:3" x14ac:dyDescent="0.35">
      <c r="A128" t="s">
        <v>160</v>
      </c>
      <c r="B128" t="s">
        <v>999</v>
      </c>
      <c r="C128" t="s">
        <v>1102</v>
      </c>
    </row>
    <row r="129" spans="1:3" x14ac:dyDescent="0.35">
      <c r="A129" t="s">
        <v>382</v>
      </c>
      <c r="B129" t="s">
        <v>1017</v>
      </c>
      <c r="C129" t="s">
        <v>1085</v>
      </c>
    </row>
    <row r="130" spans="1:3" x14ac:dyDescent="0.35">
      <c r="A130" t="s">
        <v>357</v>
      </c>
      <c r="B130" t="s">
        <v>1017</v>
      </c>
      <c r="C130" t="s">
        <v>1143</v>
      </c>
    </row>
    <row r="131" spans="1:3" x14ac:dyDescent="0.35">
      <c r="A131" t="s">
        <v>85</v>
      </c>
      <c r="B131" t="s">
        <v>994</v>
      </c>
      <c r="C131" t="s">
        <v>1026</v>
      </c>
    </row>
    <row r="132" spans="1:3" x14ac:dyDescent="0.35">
      <c r="A132" t="s">
        <v>816</v>
      </c>
      <c r="B132" t="s">
        <v>999</v>
      </c>
      <c r="C132" t="s">
        <v>1000</v>
      </c>
    </row>
    <row r="133" spans="1:3" x14ac:dyDescent="0.35">
      <c r="A133" t="s">
        <v>834</v>
      </c>
      <c r="B133" t="s">
        <v>999</v>
      </c>
      <c r="C133" t="s">
        <v>1010</v>
      </c>
    </row>
    <row r="134" spans="1:3" x14ac:dyDescent="0.35">
      <c r="A134" t="s">
        <v>488</v>
      </c>
      <c r="B134" t="s">
        <v>994</v>
      </c>
      <c r="C134" t="s">
        <v>1169</v>
      </c>
    </row>
    <row r="135" spans="1:3" x14ac:dyDescent="0.35">
      <c r="A135" t="s">
        <v>313</v>
      </c>
      <c r="B135" t="s">
        <v>994</v>
      </c>
      <c r="C135" t="s">
        <v>1069</v>
      </c>
    </row>
    <row r="136" spans="1:3" x14ac:dyDescent="0.35">
      <c r="A136" t="s">
        <v>557</v>
      </c>
      <c r="B136" t="s">
        <v>999</v>
      </c>
      <c r="C136" t="s">
        <v>1012</v>
      </c>
    </row>
    <row r="137" spans="1:3" x14ac:dyDescent="0.35">
      <c r="A137" t="s">
        <v>303</v>
      </c>
      <c r="B137" t="s">
        <v>999</v>
      </c>
      <c r="C137" t="s">
        <v>1150</v>
      </c>
    </row>
    <row r="138" spans="1:3" x14ac:dyDescent="0.35">
      <c r="A138" t="s">
        <v>159</v>
      </c>
      <c r="B138" t="s">
        <v>999</v>
      </c>
      <c r="C138" t="s">
        <v>1101</v>
      </c>
    </row>
    <row r="139" spans="1:3" x14ac:dyDescent="0.35">
      <c r="A139" t="s">
        <v>272</v>
      </c>
      <c r="B139" t="s">
        <v>1017</v>
      </c>
      <c r="C139" t="s">
        <v>1085</v>
      </c>
    </row>
    <row r="140" spans="1:3" x14ac:dyDescent="0.35">
      <c r="A140" t="s">
        <v>235</v>
      </c>
      <c r="B140" t="s">
        <v>999</v>
      </c>
      <c r="C140" t="s">
        <v>1128</v>
      </c>
    </row>
    <row r="141" spans="1:3" x14ac:dyDescent="0.35">
      <c r="A141" t="s">
        <v>418</v>
      </c>
      <c r="B141" t="s">
        <v>1001</v>
      </c>
      <c r="C141" t="s">
        <v>1158</v>
      </c>
    </row>
    <row r="142" spans="1:3" x14ac:dyDescent="0.35">
      <c r="A142" t="s">
        <v>304</v>
      </c>
      <c r="B142" t="s">
        <v>1001</v>
      </c>
      <c r="C142" t="s">
        <v>1055</v>
      </c>
    </row>
    <row r="143" spans="1:3" x14ac:dyDescent="0.35">
      <c r="A143" t="s">
        <v>679</v>
      </c>
      <c r="B143" t="s">
        <v>994</v>
      </c>
      <c r="C143" t="s">
        <v>1120</v>
      </c>
    </row>
    <row r="144" spans="1:3" x14ac:dyDescent="0.35">
      <c r="A144" t="s">
        <v>209</v>
      </c>
      <c r="B144" t="s">
        <v>999</v>
      </c>
      <c r="C144" t="s">
        <v>1087</v>
      </c>
    </row>
    <row r="145" spans="1:3" x14ac:dyDescent="0.35">
      <c r="A145" t="s">
        <v>240</v>
      </c>
      <c r="B145" t="s">
        <v>994</v>
      </c>
      <c r="C145" t="s">
        <v>1131</v>
      </c>
    </row>
    <row r="146" spans="1:3" x14ac:dyDescent="0.35">
      <c r="A146" t="s">
        <v>55</v>
      </c>
      <c r="B146" t="s">
        <v>1017</v>
      </c>
      <c r="C146" t="s">
        <v>1021</v>
      </c>
    </row>
    <row r="147" spans="1:3" x14ac:dyDescent="0.35">
      <c r="A147" t="s">
        <v>425</v>
      </c>
      <c r="B147" t="s">
        <v>1001</v>
      </c>
      <c r="C147" t="s">
        <v>1159</v>
      </c>
    </row>
    <row r="148" spans="1:3" x14ac:dyDescent="0.35">
      <c r="A148" t="s">
        <v>554</v>
      </c>
      <c r="B148" t="s">
        <v>999</v>
      </c>
      <c r="C148" t="s">
        <v>1081</v>
      </c>
    </row>
    <row r="149" spans="1:3" x14ac:dyDescent="0.35">
      <c r="A149" t="s">
        <v>149</v>
      </c>
      <c r="B149" t="s">
        <v>1017</v>
      </c>
      <c r="C149" t="s">
        <v>1061</v>
      </c>
    </row>
    <row r="150" spans="1:3" x14ac:dyDescent="0.35">
      <c r="A150" t="s">
        <v>408</v>
      </c>
      <c r="B150" t="s">
        <v>1017</v>
      </c>
      <c r="C150" t="s">
        <v>1124</v>
      </c>
    </row>
    <row r="151" spans="1:3" x14ac:dyDescent="0.35">
      <c r="A151" t="s">
        <v>466</v>
      </c>
      <c r="B151" t="s">
        <v>994</v>
      </c>
      <c r="C151" t="s">
        <v>1166</v>
      </c>
    </row>
    <row r="152" spans="1:3" x14ac:dyDescent="0.35">
      <c r="A152" t="s">
        <v>118</v>
      </c>
      <c r="B152" t="s">
        <v>994</v>
      </c>
      <c r="C152" t="s">
        <v>1078</v>
      </c>
    </row>
    <row r="153" spans="1:3" x14ac:dyDescent="0.35">
      <c r="A153" t="s">
        <v>76</v>
      </c>
      <c r="B153" t="s">
        <v>994</v>
      </c>
      <c r="C153" t="s">
        <v>1052</v>
      </c>
    </row>
    <row r="154" spans="1:3" x14ac:dyDescent="0.35">
      <c r="A154" t="s">
        <v>16</v>
      </c>
      <c r="B154" t="s">
        <v>999</v>
      </c>
      <c r="C154" t="s">
        <v>1000</v>
      </c>
    </row>
    <row r="155" spans="1:3" x14ac:dyDescent="0.35">
      <c r="A155" t="s">
        <v>426</v>
      </c>
      <c r="B155" t="s">
        <v>1017</v>
      </c>
      <c r="C155" t="s">
        <v>1034</v>
      </c>
    </row>
    <row r="156" spans="1:3" x14ac:dyDescent="0.35">
      <c r="A156" t="s">
        <v>387</v>
      </c>
      <c r="B156" t="s">
        <v>997</v>
      </c>
      <c r="C156" t="s">
        <v>1115</v>
      </c>
    </row>
    <row r="157" spans="1:3" x14ac:dyDescent="0.35">
      <c r="A157" t="s">
        <v>69</v>
      </c>
      <c r="B157" t="s">
        <v>999</v>
      </c>
      <c r="C157" t="s">
        <v>1046</v>
      </c>
    </row>
    <row r="158" spans="1:3" x14ac:dyDescent="0.35">
      <c r="A158" t="s">
        <v>689</v>
      </c>
      <c r="B158" t="s">
        <v>1017</v>
      </c>
      <c r="C158" t="s">
        <v>1036</v>
      </c>
    </row>
    <row r="159" spans="1:3" x14ac:dyDescent="0.35">
      <c r="A159" t="s">
        <v>897</v>
      </c>
      <c r="B159" t="s">
        <v>999</v>
      </c>
      <c r="C159" t="s">
        <v>1108</v>
      </c>
    </row>
    <row r="160" spans="1:3" x14ac:dyDescent="0.35">
      <c r="A160" t="s">
        <v>487</v>
      </c>
      <c r="B160" t="s">
        <v>999</v>
      </c>
      <c r="C160" t="s">
        <v>1012</v>
      </c>
    </row>
    <row r="161" spans="1:3" x14ac:dyDescent="0.35">
      <c r="A161" t="s">
        <v>825</v>
      </c>
      <c r="B161" t="s">
        <v>994</v>
      </c>
      <c r="C161" t="s">
        <v>1048</v>
      </c>
    </row>
    <row r="162" spans="1:3" x14ac:dyDescent="0.35">
      <c r="A162" t="s">
        <v>465</v>
      </c>
      <c r="B162" t="s">
        <v>1017</v>
      </c>
      <c r="C162" t="s">
        <v>1094</v>
      </c>
    </row>
    <row r="163" spans="1:3" x14ac:dyDescent="0.35">
      <c r="A163" t="s">
        <v>316</v>
      </c>
      <c r="B163" t="s">
        <v>1017</v>
      </c>
      <c r="C163" t="s">
        <v>1053</v>
      </c>
    </row>
    <row r="164" spans="1:3" x14ac:dyDescent="0.35">
      <c r="A164" t="s">
        <v>327</v>
      </c>
      <c r="B164" t="s">
        <v>994</v>
      </c>
      <c r="C164" t="s">
        <v>1096</v>
      </c>
    </row>
    <row r="165" spans="1:3" x14ac:dyDescent="0.35">
      <c r="A165" t="s">
        <v>348</v>
      </c>
      <c r="B165" t="s">
        <v>999</v>
      </c>
      <c r="C165" t="s">
        <v>1010</v>
      </c>
    </row>
    <row r="166" spans="1:3" x14ac:dyDescent="0.35">
      <c r="A166" t="s">
        <v>585</v>
      </c>
      <c r="B166" t="s">
        <v>1017</v>
      </c>
      <c r="C166" t="s">
        <v>1031</v>
      </c>
    </row>
    <row r="167" spans="1:3" x14ac:dyDescent="0.35">
      <c r="A167" t="s">
        <v>843</v>
      </c>
      <c r="B167" t="s">
        <v>999</v>
      </c>
      <c r="C167" t="s">
        <v>1116</v>
      </c>
    </row>
    <row r="168" spans="1:3" x14ac:dyDescent="0.35">
      <c r="A168" t="s">
        <v>223</v>
      </c>
      <c r="B168" t="s">
        <v>1007</v>
      </c>
      <c r="C168" t="s">
        <v>1103</v>
      </c>
    </row>
    <row r="169" spans="1:3" x14ac:dyDescent="0.35">
      <c r="A169" t="s">
        <v>11</v>
      </c>
      <c r="B169" t="s">
        <v>994</v>
      </c>
      <c r="C169" t="s">
        <v>995</v>
      </c>
    </row>
    <row r="170" spans="1:3" x14ac:dyDescent="0.35">
      <c r="A170" t="s">
        <v>84</v>
      </c>
      <c r="B170" t="s">
        <v>994</v>
      </c>
      <c r="C170" t="s">
        <v>1058</v>
      </c>
    </row>
    <row r="171" spans="1:3" x14ac:dyDescent="0.35">
      <c r="A171" t="s">
        <v>868</v>
      </c>
      <c r="B171" t="s">
        <v>999</v>
      </c>
      <c r="C171" t="s">
        <v>1101</v>
      </c>
    </row>
    <row r="172" spans="1:3" x14ac:dyDescent="0.35">
      <c r="A172" t="s">
        <v>731</v>
      </c>
      <c r="B172" t="s">
        <v>999</v>
      </c>
      <c r="C172" t="s">
        <v>1023</v>
      </c>
    </row>
    <row r="173" spans="1:3" x14ac:dyDescent="0.35">
      <c r="A173" t="s">
        <v>572</v>
      </c>
      <c r="B173" t="s">
        <v>999</v>
      </c>
      <c r="C173" t="s">
        <v>1150</v>
      </c>
    </row>
    <row r="174" spans="1:3" x14ac:dyDescent="0.35">
      <c r="A174" t="s">
        <v>922</v>
      </c>
      <c r="B174" t="s">
        <v>1001</v>
      </c>
      <c r="C174" t="s">
        <v>1040</v>
      </c>
    </row>
    <row r="175" spans="1:3" x14ac:dyDescent="0.35">
      <c r="A175" t="s">
        <v>879</v>
      </c>
      <c r="B175" t="s">
        <v>1017</v>
      </c>
      <c r="C175" t="s">
        <v>1137</v>
      </c>
    </row>
    <row r="176" spans="1:3" x14ac:dyDescent="0.35">
      <c r="A176" t="s">
        <v>448</v>
      </c>
      <c r="B176" t="s">
        <v>999</v>
      </c>
      <c r="C176" t="s">
        <v>1041</v>
      </c>
    </row>
    <row r="177" spans="1:3" x14ac:dyDescent="0.35">
      <c r="A177" t="s">
        <v>652</v>
      </c>
      <c r="B177" t="s">
        <v>994</v>
      </c>
      <c r="C177" t="s">
        <v>1064</v>
      </c>
    </row>
    <row r="178" spans="1:3" x14ac:dyDescent="0.35">
      <c r="A178" t="s">
        <v>452</v>
      </c>
      <c r="B178" t="s">
        <v>999</v>
      </c>
      <c r="C178" t="s">
        <v>1136</v>
      </c>
    </row>
    <row r="179" spans="1:3" x14ac:dyDescent="0.35">
      <c r="A179" t="s">
        <v>598</v>
      </c>
      <c r="B179" t="s">
        <v>999</v>
      </c>
      <c r="C179" t="s">
        <v>1090</v>
      </c>
    </row>
    <row r="180" spans="1:3" x14ac:dyDescent="0.35">
      <c r="A180" t="s">
        <v>34</v>
      </c>
      <c r="B180" t="s">
        <v>1017</v>
      </c>
      <c r="C180" t="s">
        <v>1018</v>
      </c>
    </row>
    <row r="181" spans="1:3" x14ac:dyDescent="0.35">
      <c r="A181" t="s">
        <v>837</v>
      </c>
      <c r="B181" t="s">
        <v>1001</v>
      </c>
      <c r="C181" t="s">
        <v>1040</v>
      </c>
    </row>
    <row r="182" spans="1:3" x14ac:dyDescent="0.35">
      <c r="A182" t="s">
        <v>410</v>
      </c>
      <c r="B182" t="s">
        <v>1001</v>
      </c>
      <c r="C182" t="s">
        <v>1158</v>
      </c>
    </row>
    <row r="183" spans="1:3" x14ac:dyDescent="0.35">
      <c r="A183" t="s">
        <v>811</v>
      </c>
      <c r="B183" t="s">
        <v>999</v>
      </c>
      <c r="C183" t="s">
        <v>1013</v>
      </c>
    </row>
    <row r="184" spans="1:3" x14ac:dyDescent="0.35">
      <c r="A184" t="s">
        <v>644</v>
      </c>
      <c r="B184" t="s">
        <v>999</v>
      </c>
      <c r="C184" t="s">
        <v>1030</v>
      </c>
    </row>
    <row r="185" spans="1:3" x14ac:dyDescent="0.35">
      <c r="A185" t="s">
        <v>329</v>
      </c>
      <c r="B185" t="s">
        <v>1001</v>
      </c>
      <c r="C185" t="s">
        <v>1151</v>
      </c>
    </row>
    <row r="186" spans="1:3" x14ac:dyDescent="0.35">
      <c r="A186" t="s">
        <v>863</v>
      </c>
      <c r="B186" t="s">
        <v>999</v>
      </c>
      <c r="C186" t="s">
        <v>1104</v>
      </c>
    </row>
    <row r="187" spans="1:3" x14ac:dyDescent="0.35">
      <c r="A187" t="s">
        <v>294</v>
      </c>
      <c r="B187" t="s">
        <v>1017</v>
      </c>
      <c r="C187" t="s">
        <v>1033</v>
      </c>
    </row>
    <row r="188" spans="1:3" x14ac:dyDescent="0.35">
      <c r="A188" t="s">
        <v>165</v>
      </c>
      <c r="B188" t="s">
        <v>999</v>
      </c>
      <c r="C188" t="s">
        <v>1041</v>
      </c>
    </row>
    <row r="189" spans="1:3" x14ac:dyDescent="0.35">
      <c r="A189" t="s">
        <v>321</v>
      </c>
      <c r="B189" t="s">
        <v>1017</v>
      </c>
      <c r="C189" t="s">
        <v>1127</v>
      </c>
    </row>
    <row r="190" spans="1:3" x14ac:dyDescent="0.35">
      <c r="A190" t="s">
        <v>265</v>
      </c>
      <c r="B190" t="s">
        <v>999</v>
      </c>
      <c r="C190" t="s">
        <v>1044</v>
      </c>
    </row>
    <row r="191" spans="1:3" x14ac:dyDescent="0.35">
      <c r="A191" t="s">
        <v>369</v>
      </c>
      <c r="B191" t="s">
        <v>1001</v>
      </c>
      <c r="C191" t="s">
        <v>1039</v>
      </c>
    </row>
    <row r="192" spans="1:3" x14ac:dyDescent="0.35">
      <c r="A192" t="s">
        <v>113</v>
      </c>
      <c r="B192" t="s">
        <v>999</v>
      </c>
      <c r="C192" t="s">
        <v>1076</v>
      </c>
    </row>
    <row r="193" spans="1:3" x14ac:dyDescent="0.35">
      <c r="A193" t="s">
        <v>299</v>
      </c>
      <c r="B193" t="s">
        <v>999</v>
      </c>
      <c r="C193" t="s">
        <v>1005</v>
      </c>
    </row>
    <row r="194" spans="1:3" x14ac:dyDescent="0.35">
      <c r="A194" t="s">
        <v>417</v>
      </c>
      <c r="B194" t="s">
        <v>999</v>
      </c>
      <c r="C194" t="s">
        <v>1146</v>
      </c>
    </row>
    <row r="195" spans="1:3" x14ac:dyDescent="0.35">
      <c r="A195" t="s">
        <v>889</v>
      </c>
      <c r="B195" t="s">
        <v>1007</v>
      </c>
      <c r="C195" t="s">
        <v>1008</v>
      </c>
    </row>
    <row r="196" spans="1:3" x14ac:dyDescent="0.35">
      <c r="A196" t="s">
        <v>295</v>
      </c>
      <c r="B196" t="s">
        <v>999</v>
      </c>
      <c r="C196" t="s">
        <v>1087</v>
      </c>
    </row>
    <row r="197" spans="1:3" x14ac:dyDescent="0.35">
      <c r="A197" t="s">
        <v>932</v>
      </c>
      <c r="B197" t="s">
        <v>997</v>
      </c>
      <c r="C197" t="s">
        <v>1071</v>
      </c>
    </row>
    <row r="198" spans="1:3" x14ac:dyDescent="0.35">
      <c r="A198" t="s">
        <v>633</v>
      </c>
      <c r="B198" t="s">
        <v>1001</v>
      </c>
      <c r="C198" t="s">
        <v>1159</v>
      </c>
    </row>
    <row r="199" spans="1:3" x14ac:dyDescent="0.35">
      <c r="A199" t="s">
        <v>505</v>
      </c>
      <c r="B199" t="s">
        <v>994</v>
      </c>
      <c r="C199" t="s">
        <v>1052</v>
      </c>
    </row>
    <row r="200" spans="1:3" x14ac:dyDescent="0.35">
      <c r="A200" t="s">
        <v>809</v>
      </c>
      <c r="B200" t="s">
        <v>999</v>
      </c>
      <c r="C200" t="s">
        <v>1032</v>
      </c>
    </row>
    <row r="201" spans="1:3" x14ac:dyDescent="0.35">
      <c r="A201" t="s">
        <v>965</v>
      </c>
      <c r="B201" t="s">
        <v>999</v>
      </c>
      <c r="C201" t="s">
        <v>1046</v>
      </c>
    </row>
    <row r="202" spans="1:3" x14ac:dyDescent="0.35">
      <c r="A202" t="s">
        <v>46</v>
      </c>
      <c r="B202" t="s">
        <v>1017</v>
      </c>
      <c r="C202" t="s">
        <v>1028</v>
      </c>
    </row>
    <row r="203" spans="1:3" x14ac:dyDescent="0.35">
      <c r="A203" t="s">
        <v>963</v>
      </c>
      <c r="B203" t="s">
        <v>1017</v>
      </c>
      <c r="C203" t="s">
        <v>1143</v>
      </c>
    </row>
    <row r="204" spans="1:3" x14ac:dyDescent="0.35">
      <c r="A204" t="s">
        <v>881</v>
      </c>
      <c r="B204" t="s">
        <v>994</v>
      </c>
      <c r="C204" t="s">
        <v>1144</v>
      </c>
    </row>
    <row r="205" spans="1:3" x14ac:dyDescent="0.35">
      <c r="A205" t="s">
        <v>388</v>
      </c>
      <c r="B205" t="s">
        <v>1001</v>
      </c>
      <c r="C205" t="s">
        <v>1002</v>
      </c>
    </row>
    <row r="206" spans="1:3" x14ac:dyDescent="0.35">
      <c r="A206" t="s">
        <v>591</v>
      </c>
      <c r="B206" t="s">
        <v>1007</v>
      </c>
      <c r="C206" t="s">
        <v>1154</v>
      </c>
    </row>
    <row r="207" spans="1:3" x14ac:dyDescent="0.35">
      <c r="A207" t="s">
        <v>477</v>
      </c>
      <c r="B207" t="s">
        <v>999</v>
      </c>
      <c r="C207" t="s">
        <v>1023</v>
      </c>
    </row>
    <row r="208" spans="1:3" x14ac:dyDescent="0.35">
      <c r="A208" t="s">
        <v>589</v>
      </c>
      <c r="B208" t="s">
        <v>999</v>
      </c>
      <c r="C208" t="s">
        <v>1176</v>
      </c>
    </row>
    <row r="209" spans="1:3" x14ac:dyDescent="0.35">
      <c r="A209" t="s">
        <v>523</v>
      </c>
      <c r="B209" t="s">
        <v>999</v>
      </c>
      <c r="C209" t="s">
        <v>1005</v>
      </c>
    </row>
    <row r="210" spans="1:3" x14ac:dyDescent="0.35">
      <c r="A210" t="s">
        <v>153</v>
      </c>
      <c r="B210" t="s">
        <v>999</v>
      </c>
      <c r="C210" t="s">
        <v>1098</v>
      </c>
    </row>
    <row r="211" spans="1:3" x14ac:dyDescent="0.35">
      <c r="A211" t="s">
        <v>911</v>
      </c>
      <c r="B211" t="s">
        <v>994</v>
      </c>
      <c r="C211" t="s">
        <v>1113</v>
      </c>
    </row>
    <row r="212" spans="1:3" x14ac:dyDescent="0.35">
      <c r="A212" t="s">
        <v>22</v>
      </c>
      <c r="B212" t="s">
        <v>999</v>
      </c>
      <c r="C212" t="s">
        <v>1005</v>
      </c>
    </row>
    <row r="213" spans="1:3" x14ac:dyDescent="0.35">
      <c r="A213" t="s">
        <v>902</v>
      </c>
      <c r="B213" t="s">
        <v>999</v>
      </c>
      <c r="C213" t="s">
        <v>1005</v>
      </c>
    </row>
    <row r="214" spans="1:3" x14ac:dyDescent="0.35">
      <c r="A214" t="s">
        <v>883</v>
      </c>
      <c r="B214" t="s">
        <v>994</v>
      </c>
      <c r="C214" t="s">
        <v>1074</v>
      </c>
    </row>
    <row r="215" spans="1:3" x14ac:dyDescent="0.35">
      <c r="A215" t="s">
        <v>413</v>
      </c>
      <c r="B215" t="s">
        <v>999</v>
      </c>
      <c r="C215" t="s">
        <v>1138</v>
      </c>
    </row>
    <row r="216" spans="1:3" x14ac:dyDescent="0.35">
      <c r="A216" t="s">
        <v>438</v>
      </c>
      <c r="B216" t="s">
        <v>999</v>
      </c>
      <c r="C216" t="s">
        <v>1162</v>
      </c>
    </row>
    <row r="217" spans="1:3" x14ac:dyDescent="0.35">
      <c r="A217" t="s">
        <v>624</v>
      </c>
      <c r="B217" t="s">
        <v>1017</v>
      </c>
      <c r="C217" t="s">
        <v>1031</v>
      </c>
    </row>
    <row r="218" spans="1:3" x14ac:dyDescent="0.35">
      <c r="A218" t="s">
        <v>668</v>
      </c>
      <c r="B218" t="s">
        <v>997</v>
      </c>
      <c r="C218" t="s">
        <v>1139</v>
      </c>
    </row>
    <row r="219" spans="1:3" x14ac:dyDescent="0.35">
      <c r="A219" t="s">
        <v>871</v>
      </c>
      <c r="B219" t="s">
        <v>994</v>
      </c>
      <c r="C219" t="s">
        <v>1096</v>
      </c>
    </row>
    <row r="220" spans="1:3" x14ac:dyDescent="0.35">
      <c r="A220" t="s">
        <v>158</v>
      </c>
      <c r="B220" t="s">
        <v>997</v>
      </c>
      <c r="C220" t="s">
        <v>1042</v>
      </c>
    </row>
    <row r="221" spans="1:3" x14ac:dyDescent="0.35">
      <c r="A221" t="s">
        <v>548</v>
      </c>
      <c r="B221" t="s">
        <v>1001</v>
      </c>
      <c r="C221" t="s">
        <v>1039</v>
      </c>
    </row>
    <row r="222" spans="1:3" x14ac:dyDescent="0.35">
      <c r="A222" t="s">
        <v>86</v>
      </c>
      <c r="B222" t="s">
        <v>997</v>
      </c>
      <c r="C222" t="s">
        <v>1006</v>
      </c>
    </row>
    <row r="223" spans="1:3" x14ac:dyDescent="0.35">
      <c r="A223" t="s">
        <v>64</v>
      </c>
      <c r="B223" t="s">
        <v>1017</v>
      </c>
      <c r="C223" t="s">
        <v>1043</v>
      </c>
    </row>
    <row r="224" spans="1:3" x14ac:dyDescent="0.35">
      <c r="A224" t="s">
        <v>844</v>
      </c>
      <c r="B224" t="s">
        <v>1017</v>
      </c>
      <c r="C224" t="s">
        <v>1060</v>
      </c>
    </row>
    <row r="225" spans="1:3" x14ac:dyDescent="0.35">
      <c r="A225" t="s">
        <v>106</v>
      </c>
      <c r="B225" t="s">
        <v>997</v>
      </c>
      <c r="C225" t="s">
        <v>1071</v>
      </c>
    </row>
    <row r="226" spans="1:3" x14ac:dyDescent="0.35">
      <c r="A226" t="s">
        <v>45</v>
      </c>
      <c r="B226" t="s">
        <v>997</v>
      </c>
      <c r="C226" t="s">
        <v>1027</v>
      </c>
    </row>
    <row r="227" spans="1:3" x14ac:dyDescent="0.35">
      <c r="A227" t="s">
        <v>596</v>
      </c>
      <c r="B227" t="s">
        <v>999</v>
      </c>
      <c r="C227" t="s">
        <v>1152</v>
      </c>
    </row>
    <row r="228" spans="1:3" x14ac:dyDescent="0.35">
      <c r="A228" t="s">
        <v>831</v>
      </c>
      <c r="B228" t="s">
        <v>1017</v>
      </c>
      <c r="C228" t="s">
        <v>1018</v>
      </c>
    </row>
    <row r="229" spans="1:3" x14ac:dyDescent="0.35">
      <c r="A229" t="s">
        <v>271</v>
      </c>
      <c r="B229" t="s">
        <v>999</v>
      </c>
      <c r="C229" t="s">
        <v>1009</v>
      </c>
    </row>
    <row r="230" spans="1:3" x14ac:dyDescent="0.35">
      <c r="A230" t="s">
        <v>507</v>
      </c>
      <c r="B230" t="s">
        <v>997</v>
      </c>
      <c r="C230" t="s">
        <v>1121</v>
      </c>
    </row>
    <row r="231" spans="1:3" x14ac:dyDescent="0.35">
      <c r="A231" t="s">
        <v>112</v>
      </c>
      <c r="B231" t="s">
        <v>999</v>
      </c>
      <c r="C231" t="s">
        <v>1023</v>
      </c>
    </row>
    <row r="232" spans="1:3" x14ac:dyDescent="0.35">
      <c r="A232" t="s">
        <v>445</v>
      </c>
      <c r="B232" t="s">
        <v>1001</v>
      </c>
      <c r="C232" t="s">
        <v>1002</v>
      </c>
    </row>
    <row r="233" spans="1:3" x14ac:dyDescent="0.35">
      <c r="A233" t="s">
        <v>906</v>
      </c>
      <c r="B233" t="s">
        <v>997</v>
      </c>
      <c r="C233" t="s">
        <v>1014</v>
      </c>
    </row>
    <row r="234" spans="1:3" x14ac:dyDescent="0.35">
      <c r="A234" t="s">
        <v>147</v>
      </c>
      <c r="B234" t="s">
        <v>994</v>
      </c>
      <c r="C234" t="s">
        <v>1096</v>
      </c>
    </row>
    <row r="235" spans="1:3" x14ac:dyDescent="0.35">
      <c r="A235" t="s">
        <v>822</v>
      </c>
      <c r="B235" t="s">
        <v>1001</v>
      </c>
      <c r="C235" t="s">
        <v>1158</v>
      </c>
    </row>
    <row r="236" spans="1:3" x14ac:dyDescent="0.35">
      <c r="A236" t="s">
        <v>817</v>
      </c>
      <c r="B236" t="s">
        <v>994</v>
      </c>
      <c r="C236" t="s">
        <v>1145</v>
      </c>
    </row>
    <row r="237" spans="1:3" x14ac:dyDescent="0.35">
      <c r="A237" t="s">
        <v>141</v>
      </c>
      <c r="B237" t="s">
        <v>997</v>
      </c>
      <c r="C237" t="s">
        <v>1093</v>
      </c>
    </row>
    <row r="238" spans="1:3" x14ac:dyDescent="0.35">
      <c r="A238" t="s">
        <v>88</v>
      </c>
      <c r="B238" t="s">
        <v>1017</v>
      </c>
      <c r="C238" t="s">
        <v>1059</v>
      </c>
    </row>
    <row r="239" spans="1:3" x14ac:dyDescent="0.35">
      <c r="A239" t="s">
        <v>424</v>
      </c>
      <c r="B239" t="s">
        <v>994</v>
      </c>
      <c r="C239" t="s">
        <v>995</v>
      </c>
    </row>
    <row r="240" spans="1:3" x14ac:dyDescent="0.35">
      <c r="A240" t="s">
        <v>54</v>
      </c>
      <c r="B240" t="s">
        <v>999</v>
      </c>
      <c r="C240" t="s">
        <v>1035</v>
      </c>
    </row>
    <row r="241" spans="1:3" x14ac:dyDescent="0.35">
      <c r="A241" t="s">
        <v>616</v>
      </c>
      <c r="B241" t="s">
        <v>994</v>
      </c>
      <c r="C241" t="s">
        <v>1160</v>
      </c>
    </row>
    <row r="242" spans="1:3" x14ac:dyDescent="0.35">
      <c r="A242" t="s">
        <v>202</v>
      </c>
      <c r="B242" t="s">
        <v>997</v>
      </c>
      <c r="C242" t="s">
        <v>1093</v>
      </c>
    </row>
    <row r="243" spans="1:3" x14ac:dyDescent="0.35">
      <c r="A243" t="s">
        <v>431</v>
      </c>
      <c r="B243" t="s">
        <v>1001</v>
      </c>
      <c r="C243" t="s">
        <v>1161</v>
      </c>
    </row>
    <row r="244" spans="1:3" x14ac:dyDescent="0.35">
      <c r="A244" t="s">
        <v>282</v>
      </c>
      <c r="B244" t="s">
        <v>994</v>
      </c>
      <c r="C244" t="s">
        <v>996</v>
      </c>
    </row>
    <row r="245" spans="1:3" x14ac:dyDescent="0.35">
      <c r="A245" t="s">
        <v>934</v>
      </c>
      <c r="B245" t="s">
        <v>1001</v>
      </c>
      <c r="C245" t="s">
        <v>1082</v>
      </c>
    </row>
    <row r="246" spans="1:3" x14ac:dyDescent="0.35">
      <c r="A246" t="s">
        <v>835</v>
      </c>
      <c r="B246" t="s">
        <v>1007</v>
      </c>
      <c r="C246" t="s">
        <v>1008</v>
      </c>
    </row>
    <row r="247" spans="1:3" x14ac:dyDescent="0.35">
      <c r="A247" t="s">
        <v>656</v>
      </c>
      <c r="B247" t="s">
        <v>999</v>
      </c>
      <c r="C247" t="s">
        <v>1138</v>
      </c>
    </row>
    <row r="248" spans="1:3" x14ac:dyDescent="0.35">
      <c r="A248" t="s">
        <v>385</v>
      </c>
      <c r="B248" t="s">
        <v>994</v>
      </c>
      <c r="C248" t="s">
        <v>1157</v>
      </c>
    </row>
    <row r="249" spans="1:3" x14ac:dyDescent="0.35">
      <c r="A249" t="s">
        <v>782</v>
      </c>
      <c r="B249" t="s">
        <v>1007</v>
      </c>
      <c r="C249" t="s">
        <v>1008</v>
      </c>
    </row>
    <row r="250" spans="1:3" x14ac:dyDescent="0.35">
      <c r="A250" t="s">
        <v>683</v>
      </c>
      <c r="B250" t="s">
        <v>994</v>
      </c>
      <c r="C250" t="s">
        <v>1113</v>
      </c>
    </row>
    <row r="251" spans="1:3" x14ac:dyDescent="0.35">
      <c r="A251" t="s">
        <v>511</v>
      </c>
      <c r="B251" t="s">
        <v>997</v>
      </c>
      <c r="C251" t="s">
        <v>1042</v>
      </c>
    </row>
    <row r="252" spans="1:3" x14ac:dyDescent="0.35">
      <c r="A252" t="s">
        <v>145</v>
      </c>
      <c r="B252" t="s">
        <v>999</v>
      </c>
      <c r="C252" t="s">
        <v>1095</v>
      </c>
    </row>
    <row r="253" spans="1:3" x14ac:dyDescent="0.35">
      <c r="A253" t="s">
        <v>25</v>
      </c>
      <c r="B253" t="s">
        <v>1007</v>
      </c>
      <c r="C253" t="s">
        <v>1008</v>
      </c>
    </row>
    <row r="254" spans="1:3" x14ac:dyDescent="0.35">
      <c r="A254" t="s">
        <v>636</v>
      </c>
      <c r="B254" t="s">
        <v>994</v>
      </c>
      <c r="C254" t="s">
        <v>1065</v>
      </c>
    </row>
    <row r="255" spans="1:3" x14ac:dyDescent="0.35">
      <c r="A255" t="s">
        <v>716</v>
      </c>
      <c r="B255" t="s">
        <v>1017</v>
      </c>
      <c r="C255" t="s">
        <v>1085</v>
      </c>
    </row>
    <row r="256" spans="1:3" x14ac:dyDescent="0.35">
      <c r="A256" t="s">
        <v>494</v>
      </c>
      <c r="B256" t="s">
        <v>1001</v>
      </c>
      <c r="C256" t="s">
        <v>1039</v>
      </c>
    </row>
    <row r="257" spans="1:3" x14ac:dyDescent="0.35">
      <c r="A257" t="s">
        <v>635</v>
      </c>
      <c r="B257" t="s">
        <v>999</v>
      </c>
      <c r="C257" t="s">
        <v>1020</v>
      </c>
    </row>
    <row r="258" spans="1:3" x14ac:dyDescent="0.35">
      <c r="A258" t="s">
        <v>711</v>
      </c>
      <c r="B258" t="s">
        <v>994</v>
      </c>
      <c r="C258" t="s">
        <v>1099</v>
      </c>
    </row>
    <row r="259" spans="1:3" x14ac:dyDescent="0.35">
      <c r="A259" t="s">
        <v>613</v>
      </c>
      <c r="B259" t="s">
        <v>999</v>
      </c>
      <c r="C259" t="s">
        <v>1147</v>
      </c>
    </row>
    <row r="260" spans="1:3" x14ac:dyDescent="0.35">
      <c r="A260" t="s">
        <v>637</v>
      </c>
      <c r="B260" t="s">
        <v>994</v>
      </c>
      <c r="C260" t="s">
        <v>1171</v>
      </c>
    </row>
    <row r="261" spans="1:3" x14ac:dyDescent="0.35">
      <c r="A261" t="s">
        <v>266</v>
      </c>
      <c r="B261" t="s">
        <v>1017</v>
      </c>
      <c r="C261" t="s">
        <v>1140</v>
      </c>
    </row>
    <row r="262" spans="1:3" x14ac:dyDescent="0.35">
      <c r="A262" t="s">
        <v>481</v>
      </c>
      <c r="B262" t="s">
        <v>994</v>
      </c>
      <c r="C262" t="s">
        <v>1169</v>
      </c>
    </row>
    <row r="263" spans="1:3" x14ac:dyDescent="0.35">
      <c r="A263" t="s">
        <v>437</v>
      </c>
      <c r="B263" t="s">
        <v>1001</v>
      </c>
      <c r="C263" t="s">
        <v>1055</v>
      </c>
    </row>
    <row r="264" spans="1:3" x14ac:dyDescent="0.35">
      <c r="A264" t="s">
        <v>353</v>
      </c>
      <c r="B264" t="s">
        <v>999</v>
      </c>
      <c r="C264" t="s">
        <v>1054</v>
      </c>
    </row>
    <row r="265" spans="1:3" x14ac:dyDescent="0.35">
      <c r="A265" t="s">
        <v>517</v>
      </c>
      <c r="B265" t="s">
        <v>994</v>
      </c>
      <c r="C265" t="s">
        <v>1170</v>
      </c>
    </row>
    <row r="266" spans="1:3" x14ac:dyDescent="0.35">
      <c r="A266" t="s">
        <v>312</v>
      </c>
      <c r="B266" t="s">
        <v>999</v>
      </c>
      <c r="C266" t="s">
        <v>1086</v>
      </c>
    </row>
    <row r="267" spans="1:3" x14ac:dyDescent="0.35">
      <c r="A267" t="s">
        <v>893</v>
      </c>
      <c r="B267" t="s">
        <v>999</v>
      </c>
      <c r="C267" t="s">
        <v>1122</v>
      </c>
    </row>
    <row r="268" spans="1:3" x14ac:dyDescent="0.35">
      <c r="A268" t="s">
        <v>551</v>
      </c>
      <c r="B268" t="s">
        <v>1001</v>
      </c>
      <c r="C268" t="s">
        <v>1040</v>
      </c>
    </row>
    <row r="269" spans="1:3" x14ac:dyDescent="0.35">
      <c r="A269" t="s">
        <v>529</v>
      </c>
      <c r="B269" t="s">
        <v>1017</v>
      </c>
      <c r="C269" t="s">
        <v>1033</v>
      </c>
    </row>
    <row r="270" spans="1:3" x14ac:dyDescent="0.35">
      <c r="A270" t="s">
        <v>42</v>
      </c>
      <c r="B270" t="s">
        <v>999</v>
      </c>
      <c r="C270" t="s">
        <v>1025</v>
      </c>
    </row>
    <row r="271" spans="1:3" x14ac:dyDescent="0.35">
      <c r="A271" t="s">
        <v>690</v>
      </c>
      <c r="B271" t="s">
        <v>1017</v>
      </c>
      <c r="C271" t="s">
        <v>1019</v>
      </c>
    </row>
    <row r="272" spans="1:3" x14ac:dyDescent="0.35">
      <c r="A272" t="s">
        <v>705</v>
      </c>
      <c r="B272" t="s">
        <v>1001</v>
      </c>
      <c r="C272" t="s">
        <v>1161</v>
      </c>
    </row>
    <row r="273" spans="1:3" x14ac:dyDescent="0.35">
      <c r="A273" t="s">
        <v>708</v>
      </c>
      <c r="B273" t="s">
        <v>994</v>
      </c>
      <c r="C273" t="s">
        <v>1029</v>
      </c>
    </row>
    <row r="274" spans="1:3" x14ac:dyDescent="0.35">
      <c r="A274" t="s">
        <v>432</v>
      </c>
      <c r="B274" t="s">
        <v>994</v>
      </c>
      <c r="C274" t="s">
        <v>1096</v>
      </c>
    </row>
    <row r="275" spans="1:3" x14ac:dyDescent="0.35">
      <c r="A275" t="s">
        <v>916</v>
      </c>
      <c r="B275" t="s">
        <v>999</v>
      </c>
      <c r="C275" t="s">
        <v>1054</v>
      </c>
    </row>
    <row r="276" spans="1:3" x14ac:dyDescent="0.35">
      <c r="A276" t="s">
        <v>307</v>
      </c>
      <c r="B276" t="s">
        <v>994</v>
      </c>
      <c r="C276" t="s">
        <v>1062</v>
      </c>
    </row>
    <row r="277" spans="1:3" x14ac:dyDescent="0.35">
      <c r="A277" t="s">
        <v>538</v>
      </c>
      <c r="B277" t="s">
        <v>999</v>
      </c>
      <c r="C277" t="s">
        <v>1111</v>
      </c>
    </row>
    <row r="278" spans="1:3" x14ac:dyDescent="0.35">
      <c r="A278" t="s">
        <v>201</v>
      </c>
      <c r="B278" t="s">
        <v>994</v>
      </c>
      <c r="C278" t="s">
        <v>1120</v>
      </c>
    </row>
    <row r="279" spans="1:3" x14ac:dyDescent="0.35">
      <c r="A279" t="s">
        <v>142</v>
      </c>
      <c r="B279" t="s">
        <v>999</v>
      </c>
      <c r="C279" t="s">
        <v>1024</v>
      </c>
    </row>
    <row r="280" spans="1:3" x14ac:dyDescent="0.35">
      <c r="A280" t="s">
        <v>443</v>
      </c>
      <c r="B280" t="s">
        <v>997</v>
      </c>
      <c r="C280" t="s">
        <v>1165</v>
      </c>
    </row>
    <row r="281" spans="1:3" x14ac:dyDescent="0.35">
      <c r="A281" t="s">
        <v>414</v>
      </c>
      <c r="B281" t="s">
        <v>1001</v>
      </c>
      <c r="C281" t="s">
        <v>1091</v>
      </c>
    </row>
    <row r="282" spans="1:3" x14ac:dyDescent="0.35">
      <c r="A282" t="s">
        <v>915</v>
      </c>
      <c r="B282" t="s">
        <v>994</v>
      </c>
      <c r="C282" t="s">
        <v>1080</v>
      </c>
    </row>
    <row r="283" spans="1:3" x14ac:dyDescent="0.35">
      <c r="A283" t="s">
        <v>628</v>
      </c>
      <c r="B283" t="s">
        <v>997</v>
      </c>
      <c r="C283" t="s">
        <v>1139</v>
      </c>
    </row>
    <row r="284" spans="1:3" x14ac:dyDescent="0.35">
      <c r="A284" t="s">
        <v>661</v>
      </c>
      <c r="B284" t="s">
        <v>997</v>
      </c>
      <c r="C284" t="s">
        <v>1038</v>
      </c>
    </row>
    <row r="285" spans="1:3" x14ac:dyDescent="0.35">
      <c r="A285" t="s">
        <v>189</v>
      </c>
      <c r="B285" t="s">
        <v>997</v>
      </c>
      <c r="C285" t="s">
        <v>1115</v>
      </c>
    </row>
    <row r="286" spans="1:3" x14ac:dyDescent="0.35">
      <c r="A286" t="s">
        <v>848</v>
      </c>
      <c r="B286" t="s">
        <v>1017</v>
      </c>
      <c r="C286" t="s">
        <v>1021</v>
      </c>
    </row>
    <row r="287" spans="1:3" x14ac:dyDescent="0.35">
      <c r="A287" t="s">
        <v>700</v>
      </c>
      <c r="B287" t="s">
        <v>999</v>
      </c>
      <c r="C287" t="s">
        <v>1107</v>
      </c>
    </row>
    <row r="288" spans="1:3" x14ac:dyDescent="0.35">
      <c r="A288" t="s">
        <v>217</v>
      </c>
      <c r="B288" t="s">
        <v>997</v>
      </c>
      <c r="C288" t="s">
        <v>1014</v>
      </c>
    </row>
    <row r="289" spans="1:3" x14ac:dyDescent="0.35">
      <c r="A289" t="s">
        <v>258</v>
      </c>
      <c r="B289" t="s">
        <v>997</v>
      </c>
      <c r="C289" t="s">
        <v>1071</v>
      </c>
    </row>
    <row r="290" spans="1:3" x14ac:dyDescent="0.35">
      <c r="A290" t="s">
        <v>472</v>
      </c>
      <c r="B290" t="s">
        <v>999</v>
      </c>
      <c r="C290" t="s">
        <v>1051</v>
      </c>
    </row>
    <row r="291" spans="1:3" x14ac:dyDescent="0.35">
      <c r="A291" t="s">
        <v>383</v>
      </c>
      <c r="B291" t="s">
        <v>994</v>
      </c>
      <c r="C291" t="s">
        <v>1117</v>
      </c>
    </row>
    <row r="292" spans="1:3" x14ac:dyDescent="0.35">
      <c r="A292" t="s">
        <v>746</v>
      </c>
      <c r="B292" t="s">
        <v>1001</v>
      </c>
      <c r="C292" t="s">
        <v>1070</v>
      </c>
    </row>
    <row r="293" spans="1:3" x14ac:dyDescent="0.35">
      <c r="A293" t="s">
        <v>460</v>
      </c>
      <c r="B293" t="s">
        <v>994</v>
      </c>
      <c r="C293" t="s">
        <v>1083</v>
      </c>
    </row>
    <row r="294" spans="1:3" x14ac:dyDescent="0.35">
      <c r="A294" t="s">
        <v>252</v>
      </c>
      <c r="B294" t="s">
        <v>999</v>
      </c>
      <c r="C294" t="s">
        <v>1135</v>
      </c>
    </row>
    <row r="295" spans="1:3" x14ac:dyDescent="0.35">
      <c r="A295" t="s">
        <v>320</v>
      </c>
      <c r="B295" t="s">
        <v>994</v>
      </c>
      <c r="C295" t="s">
        <v>1123</v>
      </c>
    </row>
    <row r="296" spans="1:3" x14ac:dyDescent="0.35">
      <c r="A296" t="s">
        <v>130</v>
      </c>
      <c r="B296" t="s">
        <v>1001</v>
      </c>
      <c r="C296" t="s">
        <v>1070</v>
      </c>
    </row>
    <row r="297" spans="1:3" x14ac:dyDescent="0.35">
      <c r="A297" t="s">
        <v>317</v>
      </c>
      <c r="B297" t="s">
        <v>994</v>
      </c>
      <c r="C297" t="s">
        <v>1058</v>
      </c>
    </row>
    <row r="298" spans="1:3" x14ac:dyDescent="0.35">
      <c r="A298" t="s">
        <v>958</v>
      </c>
      <c r="B298" t="s">
        <v>1007</v>
      </c>
      <c r="C298" t="s">
        <v>1134</v>
      </c>
    </row>
    <row r="299" spans="1:3" x14ac:dyDescent="0.35">
      <c r="A299" t="s">
        <v>949</v>
      </c>
      <c r="B299" t="s">
        <v>994</v>
      </c>
      <c r="C299" t="s">
        <v>1074</v>
      </c>
    </row>
    <row r="300" spans="1:3" x14ac:dyDescent="0.35">
      <c r="A300" t="s">
        <v>480</v>
      </c>
      <c r="B300" t="s">
        <v>994</v>
      </c>
      <c r="C300" t="s">
        <v>1049</v>
      </c>
    </row>
    <row r="301" spans="1:3" x14ac:dyDescent="0.35">
      <c r="A301" t="s">
        <v>877</v>
      </c>
      <c r="B301" t="s">
        <v>1001</v>
      </c>
      <c r="C301" t="s">
        <v>1151</v>
      </c>
    </row>
    <row r="302" spans="1:3" x14ac:dyDescent="0.35">
      <c r="A302" t="s">
        <v>797</v>
      </c>
      <c r="B302" t="s">
        <v>999</v>
      </c>
      <c r="C302" t="s">
        <v>1046</v>
      </c>
    </row>
    <row r="303" spans="1:3" x14ac:dyDescent="0.35">
      <c r="A303" t="s">
        <v>102</v>
      </c>
      <c r="B303" t="s">
        <v>994</v>
      </c>
      <c r="C303" t="s">
        <v>1069</v>
      </c>
    </row>
    <row r="304" spans="1:3" x14ac:dyDescent="0.35">
      <c r="A304" t="s">
        <v>132</v>
      </c>
      <c r="B304" t="s">
        <v>999</v>
      </c>
      <c r="C304" t="s">
        <v>1086</v>
      </c>
    </row>
    <row r="305" spans="1:3" x14ac:dyDescent="0.35">
      <c r="A305" t="s">
        <v>440</v>
      </c>
      <c r="B305" t="s">
        <v>999</v>
      </c>
      <c r="C305" t="s">
        <v>1150</v>
      </c>
    </row>
    <row r="306" spans="1:3" x14ac:dyDescent="0.35">
      <c r="A306" t="s">
        <v>210</v>
      </c>
      <c r="B306" t="s">
        <v>1017</v>
      </c>
      <c r="C306" t="s">
        <v>1034</v>
      </c>
    </row>
    <row r="307" spans="1:3" x14ac:dyDescent="0.35">
      <c r="A307" t="s">
        <v>124</v>
      </c>
      <c r="B307" t="s">
        <v>1001</v>
      </c>
      <c r="C307" t="s">
        <v>1082</v>
      </c>
    </row>
    <row r="308" spans="1:3" x14ac:dyDescent="0.35">
      <c r="A308" t="s">
        <v>221</v>
      </c>
      <c r="B308" t="s">
        <v>999</v>
      </c>
      <c r="C308" t="s">
        <v>1024</v>
      </c>
    </row>
    <row r="309" spans="1:3" x14ac:dyDescent="0.35">
      <c r="A309" t="s">
        <v>75</v>
      </c>
      <c r="B309" t="s">
        <v>999</v>
      </c>
      <c r="C309" t="s">
        <v>1051</v>
      </c>
    </row>
    <row r="310" spans="1:3" x14ac:dyDescent="0.35">
      <c r="A310" t="s">
        <v>89</v>
      </c>
      <c r="B310" t="s">
        <v>1017</v>
      </c>
      <c r="C310" t="s">
        <v>1060</v>
      </c>
    </row>
    <row r="311" spans="1:3" x14ac:dyDescent="0.35">
      <c r="A311" t="s">
        <v>853</v>
      </c>
      <c r="B311" t="s">
        <v>997</v>
      </c>
      <c r="C311" t="s">
        <v>1165</v>
      </c>
    </row>
    <row r="312" spans="1:3" x14ac:dyDescent="0.35">
      <c r="A312" t="s">
        <v>798</v>
      </c>
      <c r="B312" t="s">
        <v>999</v>
      </c>
      <c r="C312" t="s">
        <v>1147</v>
      </c>
    </row>
    <row r="313" spans="1:3" x14ac:dyDescent="0.35">
      <c r="A313" t="s">
        <v>651</v>
      </c>
      <c r="B313" t="s">
        <v>994</v>
      </c>
      <c r="C313" t="s">
        <v>1088</v>
      </c>
    </row>
    <row r="314" spans="1:3" x14ac:dyDescent="0.35">
      <c r="A314" t="s">
        <v>594</v>
      </c>
      <c r="B314" t="s">
        <v>1007</v>
      </c>
      <c r="C314" t="s">
        <v>1134</v>
      </c>
    </row>
    <row r="315" spans="1:3" x14ac:dyDescent="0.35">
      <c r="A315" t="s">
        <v>936</v>
      </c>
      <c r="B315" t="s">
        <v>999</v>
      </c>
      <c r="C315" t="s">
        <v>1122</v>
      </c>
    </row>
    <row r="316" spans="1:3" x14ac:dyDescent="0.35">
      <c r="A316" t="s">
        <v>236</v>
      </c>
      <c r="B316" t="s">
        <v>994</v>
      </c>
      <c r="C316" t="s">
        <v>1129</v>
      </c>
    </row>
    <row r="317" spans="1:3" x14ac:dyDescent="0.35">
      <c r="A317" t="s">
        <v>238</v>
      </c>
      <c r="B317" t="s">
        <v>1007</v>
      </c>
      <c r="C317" t="s">
        <v>1008</v>
      </c>
    </row>
    <row r="318" spans="1:3" x14ac:dyDescent="0.35">
      <c r="A318" t="s">
        <v>721</v>
      </c>
      <c r="B318" t="s">
        <v>997</v>
      </c>
      <c r="C318" t="s">
        <v>1121</v>
      </c>
    </row>
    <row r="319" spans="1:3" x14ac:dyDescent="0.35">
      <c r="A319" t="s">
        <v>300</v>
      </c>
      <c r="B319" t="s">
        <v>1017</v>
      </c>
      <c r="C319" t="s">
        <v>1021</v>
      </c>
    </row>
    <row r="320" spans="1:3" x14ac:dyDescent="0.35">
      <c r="A320" t="s">
        <v>364</v>
      </c>
      <c r="B320" t="s">
        <v>999</v>
      </c>
      <c r="C320" t="s">
        <v>1114</v>
      </c>
    </row>
    <row r="321" spans="1:3" x14ac:dyDescent="0.35">
      <c r="A321" t="s">
        <v>184</v>
      </c>
      <c r="B321" t="s">
        <v>994</v>
      </c>
      <c r="C321" t="s">
        <v>1113</v>
      </c>
    </row>
    <row r="322" spans="1:3" x14ac:dyDescent="0.35">
      <c r="A322" t="s">
        <v>570</v>
      </c>
      <c r="B322" t="s">
        <v>1017</v>
      </c>
      <c r="C322" t="s">
        <v>1140</v>
      </c>
    </row>
    <row r="323" spans="1:3" x14ac:dyDescent="0.35">
      <c r="A323" t="s">
        <v>621</v>
      </c>
      <c r="B323" t="s">
        <v>994</v>
      </c>
      <c r="C323" t="s">
        <v>1179</v>
      </c>
    </row>
    <row r="324" spans="1:3" x14ac:dyDescent="0.35">
      <c r="A324" t="s">
        <v>344</v>
      </c>
      <c r="B324" t="s">
        <v>1007</v>
      </c>
      <c r="C324" t="s">
        <v>1154</v>
      </c>
    </row>
    <row r="325" spans="1:3" x14ac:dyDescent="0.35">
      <c r="A325" t="s">
        <v>842</v>
      </c>
      <c r="B325" t="s">
        <v>1007</v>
      </c>
      <c r="C325" t="s">
        <v>1134</v>
      </c>
    </row>
    <row r="326" spans="1:3" x14ac:dyDescent="0.35">
      <c r="A326" t="s">
        <v>59</v>
      </c>
      <c r="B326" t="s">
        <v>1001</v>
      </c>
      <c r="C326" t="s">
        <v>1039</v>
      </c>
    </row>
    <row r="327" spans="1:3" x14ac:dyDescent="0.35">
      <c r="A327" t="s">
        <v>521</v>
      </c>
      <c r="B327" t="s">
        <v>999</v>
      </c>
      <c r="C327" t="s">
        <v>1114</v>
      </c>
    </row>
    <row r="328" spans="1:3" x14ac:dyDescent="0.35">
      <c r="A328" t="s">
        <v>838</v>
      </c>
      <c r="B328" t="s">
        <v>999</v>
      </c>
      <c r="C328" t="s">
        <v>1109</v>
      </c>
    </row>
    <row r="329" spans="1:3" x14ac:dyDescent="0.35">
      <c r="A329" t="s">
        <v>945</v>
      </c>
      <c r="B329" t="s">
        <v>1017</v>
      </c>
      <c r="C329" t="s">
        <v>1022</v>
      </c>
    </row>
    <row r="330" spans="1:3" x14ac:dyDescent="0.35">
      <c r="A330" t="s">
        <v>338</v>
      </c>
      <c r="B330" t="s">
        <v>994</v>
      </c>
      <c r="C330" t="s">
        <v>1120</v>
      </c>
    </row>
    <row r="331" spans="1:3" x14ac:dyDescent="0.35">
      <c r="A331" t="s">
        <v>950</v>
      </c>
      <c r="B331" t="s">
        <v>997</v>
      </c>
      <c r="C331" t="s">
        <v>1006</v>
      </c>
    </row>
    <row r="332" spans="1:3" x14ac:dyDescent="0.35">
      <c r="A332" t="s">
        <v>567</v>
      </c>
      <c r="B332" t="s">
        <v>994</v>
      </c>
      <c r="C332" t="s">
        <v>1026</v>
      </c>
    </row>
    <row r="333" spans="1:3" x14ac:dyDescent="0.35">
      <c r="A333" t="s">
        <v>826</v>
      </c>
      <c r="B333" t="s">
        <v>997</v>
      </c>
      <c r="C333" t="s">
        <v>1139</v>
      </c>
    </row>
    <row r="334" spans="1:3" x14ac:dyDescent="0.35">
      <c r="A334" t="s">
        <v>684</v>
      </c>
      <c r="B334" t="s">
        <v>999</v>
      </c>
      <c r="C334" t="s">
        <v>1087</v>
      </c>
    </row>
    <row r="335" spans="1:3" x14ac:dyDescent="0.35">
      <c r="A335" t="s">
        <v>186</v>
      </c>
      <c r="B335" t="s">
        <v>999</v>
      </c>
      <c r="C335" t="s">
        <v>1089</v>
      </c>
    </row>
    <row r="336" spans="1:3" x14ac:dyDescent="0.35">
      <c r="A336" t="s">
        <v>308</v>
      </c>
      <c r="B336" t="s">
        <v>1017</v>
      </c>
      <c r="C336" t="s">
        <v>1050</v>
      </c>
    </row>
    <row r="337" spans="1:3" x14ac:dyDescent="0.35">
      <c r="A337" t="s">
        <v>286</v>
      </c>
      <c r="B337" t="s">
        <v>999</v>
      </c>
      <c r="C337" t="s">
        <v>1146</v>
      </c>
    </row>
    <row r="338" spans="1:3" x14ac:dyDescent="0.35">
      <c r="A338" t="s">
        <v>38</v>
      </c>
      <c r="B338" t="s">
        <v>1017</v>
      </c>
      <c r="C338" t="s">
        <v>1022</v>
      </c>
    </row>
    <row r="339" spans="1:3" x14ac:dyDescent="0.35">
      <c r="A339" t="s">
        <v>618</v>
      </c>
      <c r="B339" t="s">
        <v>997</v>
      </c>
      <c r="C339" t="s">
        <v>1071</v>
      </c>
    </row>
    <row r="340" spans="1:3" x14ac:dyDescent="0.35">
      <c r="A340" t="s">
        <v>337</v>
      </c>
      <c r="B340" t="s">
        <v>999</v>
      </c>
      <c r="C340" t="s">
        <v>1056</v>
      </c>
    </row>
    <row r="341" spans="1:3" x14ac:dyDescent="0.35">
      <c r="A341" t="s">
        <v>604</v>
      </c>
      <c r="B341" t="s">
        <v>999</v>
      </c>
      <c r="C341" t="s">
        <v>1035</v>
      </c>
    </row>
    <row r="342" spans="1:3" x14ac:dyDescent="0.35">
      <c r="A342" t="s">
        <v>907</v>
      </c>
      <c r="B342" t="s">
        <v>994</v>
      </c>
      <c r="C342" t="s">
        <v>1131</v>
      </c>
    </row>
    <row r="343" spans="1:3" x14ac:dyDescent="0.35">
      <c r="A343" t="s">
        <v>722</v>
      </c>
      <c r="B343" t="s">
        <v>999</v>
      </c>
      <c r="C343" t="s">
        <v>1138</v>
      </c>
    </row>
    <row r="344" spans="1:3" x14ac:dyDescent="0.35">
      <c r="A344" t="s">
        <v>131</v>
      </c>
      <c r="B344" t="s">
        <v>1017</v>
      </c>
      <c r="C344" t="s">
        <v>1085</v>
      </c>
    </row>
    <row r="345" spans="1:3" x14ac:dyDescent="0.35">
      <c r="A345" t="s">
        <v>398</v>
      </c>
      <c r="B345" t="s">
        <v>997</v>
      </c>
      <c r="C345" t="s">
        <v>1027</v>
      </c>
    </row>
    <row r="346" spans="1:3" x14ac:dyDescent="0.35">
      <c r="A346" t="s">
        <v>535</v>
      </c>
      <c r="B346" t="s">
        <v>999</v>
      </c>
      <c r="C346" t="s">
        <v>1020</v>
      </c>
    </row>
    <row r="347" spans="1:3" x14ac:dyDescent="0.35">
      <c r="A347" t="s">
        <v>125</v>
      </c>
      <c r="B347" t="s">
        <v>994</v>
      </c>
      <c r="C347" t="s">
        <v>1083</v>
      </c>
    </row>
    <row r="348" spans="1:3" x14ac:dyDescent="0.35">
      <c r="A348" t="s">
        <v>614</v>
      </c>
      <c r="B348" t="s">
        <v>1017</v>
      </c>
      <c r="C348" t="s">
        <v>1031</v>
      </c>
    </row>
    <row r="349" spans="1:3" x14ac:dyDescent="0.35">
      <c r="A349" t="s">
        <v>315</v>
      </c>
      <c r="B349" t="s">
        <v>999</v>
      </c>
      <c r="C349" t="s">
        <v>1081</v>
      </c>
    </row>
    <row r="350" spans="1:3" x14ac:dyDescent="0.35">
      <c r="A350" t="s">
        <v>647</v>
      </c>
      <c r="B350" t="s">
        <v>1017</v>
      </c>
      <c r="C350" t="s">
        <v>1094</v>
      </c>
    </row>
    <row r="351" spans="1:3" x14ac:dyDescent="0.35">
      <c r="A351" t="s">
        <v>441</v>
      </c>
      <c r="B351" t="s">
        <v>994</v>
      </c>
      <c r="C351" t="s">
        <v>1164</v>
      </c>
    </row>
    <row r="352" spans="1:3" x14ac:dyDescent="0.35">
      <c r="A352" t="s">
        <v>865</v>
      </c>
      <c r="B352" t="s">
        <v>994</v>
      </c>
      <c r="C352" t="s">
        <v>1145</v>
      </c>
    </row>
    <row r="353" spans="1:3" x14ac:dyDescent="0.35">
      <c r="A353" t="s">
        <v>111</v>
      </c>
      <c r="B353" t="s">
        <v>1017</v>
      </c>
      <c r="C353" t="s">
        <v>1075</v>
      </c>
    </row>
    <row r="354" spans="1:3" x14ac:dyDescent="0.35">
      <c r="A354" t="s">
        <v>309</v>
      </c>
      <c r="B354" t="s">
        <v>997</v>
      </c>
      <c r="C354" t="s">
        <v>1063</v>
      </c>
    </row>
    <row r="355" spans="1:3" x14ac:dyDescent="0.35">
      <c r="A355" t="s">
        <v>757</v>
      </c>
      <c r="B355" t="s">
        <v>1001</v>
      </c>
      <c r="C355" t="s">
        <v>1070</v>
      </c>
    </row>
    <row r="356" spans="1:3" x14ac:dyDescent="0.35">
      <c r="A356" t="s">
        <v>107</v>
      </c>
      <c r="B356" t="s">
        <v>994</v>
      </c>
      <c r="C356" t="s">
        <v>1072</v>
      </c>
    </row>
    <row r="357" spans="1:3" x14ac:dyDescent="0.35">
      <c r="A357" t="s">
        <v>105</v>
      </c>
      <c r="B357" t="s">
        <v>1017</v>
      </c>
      <c r="C357" t="s">
        <v>1034</v>
      </c>
    </row>
    <row r="358" spans="1:3" x14ac:dyDescent="0.35">
      <c r="A358" t="s">
        <v>503</v>
      </c>
      <c r="B358" t="s">
        <v>999</v>
      </c>
      <c r="C358" t="s">
        <v>1009</v>
      </c>
    </row>
    <row r="359" spans="1:3" x14ac:dyDescent="0.35">
      <c r="A359" t="s">
        <v>28</v>
      </c>
      <c r="B359" t="s">
        <v>999</v>
      </c>
      <c r="C359" t="s">
        <v>1011</v>
      </c>
    </row>
    <row r="360" spans="1:3" x14ac:dyDescent="0.35">
      <c r="A360" t="s">
        <v>924</v>
      </c>
      <c r="B360" t="s">
        <v>994</v>
      </c>
      <c r="C360" t="s">
        <v>1125</v>
      </c>
    </row>
    <row r="361" spans="1:3" x14ac:dyDescent="0.35">
      <c r="A361" t="s">
        <v>454</v>
      </c>
      <c r="B361" t="s">
        <v>994</v>
      </c>
      <c r="C361" t="s">
        <v>1125</v>
      </c>
    </row>
    <row r="362" spans="1:3" x14ac:dyDescent="0.35">
      <c r="A362" t="s">
        <v>120</v>
      </c>
      <c r="B362" t="s">
        <v>999</v>
      </c>
      <c r="C362" t="s">
        <v>1044</v>
      </c>
    </row>
    <row r="363" spans="1:3" x14ac:dyDescent="0.35">
      <c r="A363" t="s">
        <v>63</v>
      </c>
      <c r="B363" t="s">
        <v>997</v>
      </c>
      <c r="C363" t="s">
        <v>1042</v>
      </c>
    </row>
    <row r="364" spans="1:3" x14ac:dyDescent="0.35">
      <c r="A364" t="s">
        <v>962</v>
      </c>
      <c r="B364" t="s">
        <v>1017</v>
      </c>
      <c r="C364" t="s">
        <v>1061</v>
      </c>
    </row>
    <row r="365" spans="1:3" x14ac:dyDescent="0.35">
      <c r="A365" t="s">
        <v>704</v>
      </c>
      <c r="B365" t="s">
        <v>1001</v>
      </c>
      <c r="C365" t="s">
        <v>1082</v>
      </c>
    </row>
    <row r="366" spans="1:3" x14ac:dyDescent="0.35">
      <c r="A366" t="s">
        <v>870</v>
      </c>
      <c r="B366" t="s">
        <v>994</v>
      </c>
      <c r="C366" t="s">
        <v>1066</v>
      </c>
    </row>
    <row r="367" spans="1:3" x14ac:dyDescent="0.35">
      <c r="A367" t="s">
        <v>73</v>
      </c>
      <c r="B367" t="s">
        <v>994</v>
      </c>
      <c r="C367" t="s">
        <v>1049</v>
      </c>
    </row>
    <row r="368" spans="1:3" x14ac:dyDescent="0.35">
      <c r="A368" t="s">
        <v>514</v>
      </c>
      <c r="B368" t="s">
        <v>1017</v>
      </c>
      <c r="C368" t="s">
        <v>1060</v>
      </c>
    </row>
    <row r="369" spans="1:3" x14ac:dyDescent="0.35">
      <c r="A369" t="s">
        <v>720</v>
      </c>
      <c r="B369" t="s">
        <v>999</v>
      </c>
      <c r="C369" t="s">
        <v>1013</v>
      </c>
    </row>
    <row r="370" spans="1:3" x14ac:dyDescent="0.35">
      <c r="A370" t="s">
        <v>239</v>
      </c>
      <c r="B370" t="s">
        <v>999</v>
      </c>
      <c r="C370" t="s">
        <v>1130</v>
      </c>
    </row>
    <row r="371" spans="1:3" x14ac:dyDescent="0.35">
      <c r="A371" t="s">
        <v>606</v>
      </c>
      <c r="B371" t="s">
        <v>999</v>
      </c>
      <c r="C371" t="s">
        <v>1084</v>
      </c>
    </row>
    <row r="372" spans="1:3" x14ac:dyDescent="0.35">
      <c r="A372" t="s">
        <v>197</v>
      </c>
      <c r="B372" t="s">
        <v>999</v>
      </c>
      <c r="C372" t="s">
        <v>1046</v>
      </c>
    </row>
    <row r="373" spans="1:3" x14ac:dyDescent="0.35">
      <c r="A373" t="s">
        <v>724</v>
      </c>
      <c r="B373" t="s">
        <v>994</v>
      </c>
      <c r="C373" t="s">
        <v>1072</v>
      </c>
    </row>
    <row r="374" spans="1:3" x14ac:dyDescent="0.35">
      <c r="A374" t="s">
        <v>451</v>
      </c>
      <c r="B374" t="s">
        <v>999</v>
      </c>
      <c r="C374" t="s">
        <v>1009</v>
      </c>
    </row>
    <row r="375" spans="1:3" x14ac:dyDescent="0.35">
      <c r="A375" t="s">
        <v>765</v>
      </c>
      <c r="B375" t="s">
        <v>1001</v>
      </c>
      <c r="C375" t="s">
        <v>1141</v>
      </c>
    </row>
    <row r="376" spans="1:3" x14ac:dyDescent="0.35">
      <c r="A376" t="s">
        <v>176</v>
      </c>
      <c r="B376" t="s">
        <v>999</v>
      </c>
      <c r="C376" t="s">
        <v>1109</v>
      </c>
    </row>
    <row r="377" spans="1:3" x14ac:dyDescent="0.35">
      <c r="A377" t="s">
        <v>267</v>
      </c>
      <c r="B377" t="s">
        <v>1001</v>
      </c>
      <c r="C377" t="s">
        <v>1141</v>
      </c>
    </row>
    <row r="378" spans="1:3" x14ac:dyDescent="0.35">
      <c r="A378" t="s">
        <v>692</v>
      </c>
      <c r="B378" t="s">
        <v>1007</v>
      </c>
      <c r="C378" t="s">
        <v>1103</v>
      </c>
    </row>
    <row r="379" spans="1:3" x14ac:dyDescent="0.35">
      <c r="A379" t="s">
        <v>326</v>
      </c>
      <c r="B379" t="s">
        <v>1017</v>
      </c>
      <c r="C379" t="s">
        <v>1022</v>
      </c>
    </row>
    <row r="380" spans="1:3" x14ac:dyDescent="0.35">
      <c r="A380" t="s">
        <v>436</v>
      </c>
      <c r="B380" t="s">
        <v>997</v>
      </c>
      <c r="C380" t="s">
        <v>1139</v>
      </c>
    </row>
    <row r="381" spans="1:3" x14ac:dyDescent="0.35">
      <c r="A381" t="s">
        <v>244</v>
      </c>
      <c r="B381" t="s">
        <v>1017</v>
      </c>
      <c r="C381" t="s">
        <v>1022</v>
      </c>
    </row>
    <row r="382" spans="1:3" x14ac:dyDescent="0.35">
      <c r="A382" t="s">
        <v>743</v>
      </c>
      <c r="B382" t="s">
        <v>999</v>
      </c>
      <c r="C382" t="s">
        <v>1108</v>
      </c>
    </row>
    <row r="383" spans="1:3" x14ac:dyDescent="0.35">
      <c r="A383" t="s">
        <v>768</v>
      </c>
      <c r="B383" t="s">
        <v>999</v>
      </c>
      <c r="C383" t="s">
        <v>1024</v>
      </c>
    </row>
    <row r="384" spans="1:3" x14ac:dyDescent="0.35">
      <c r="A384" t="s">
        <v>468</v>
      </c>
      <c r="B384" t="s">
        <v>999</v>
      </c>
      <c r="C384" t="s">
        <v>1167</v>
      </c>
    </row>
    <row r="385" spans="1:3" x14ac:dyDescent="0.35">
      <c r="A385" t="s">
        <v>384</v>
      </c>
      <c r="B385" t="s">
        <v>999</v>
      </c>
      <c r="C385" t="s">
        <v>1109</v>
      </c>
    </row>
    <row r="386" spans="1:3" x14ac:dyDescent="0.35">
      <c r="A386" t="s">
        <v>686</v>
      </c>
      <c r="B386" t="s">
        <v>999</v>
      </c>
      <c r="C386" t="s">
        <v>1089</v>
      </c>
    </row>
    <row r="387" spans="1:3" x14ac:dyDescent="0.35">
      <c r="A387" t="s">
        <v>36</v>
      </c>
      <c r="B387" t="s">
        <v>999</v>
      </c>
      <c r="C387" t="s">
        <v>1020</v>
      </c>
    </row>
    <row r="388" spans="1:3" x14ac:dyDescent="0.35">
      <c r="A388" t="s">
        <v>729</v>
      </c>
      <c r="B388" t="s">
        <v>994</v>
      </c>
      <c r="C388" t="s">
        <v>995</v>
      </c>
    </row>
    <row r="389" spans="1:3" x14ac:dyDescent="0.35">
      <c r="A389" t="s">
        <v>458</v>
      </c>
      <c r="B389" t="s">
        <v>994</v>
      </c>
      <c r="C389" t="s">
        <v>1083</v>
      </c>
    </row>
    <row r="390" spans="1:3" x14ac:dyDescent="0.35">
      <c r="A390" t="s">
        <v>744</v>
      </c>
      <c r="B390" t="s">
        <v>994</v>
      </c>
      <c r="C390" t="s">
        <v>1153</v>
      </c>
    </row>
    <row r="391" spans="1:3" x14ac:dyDescent="0.35">
      <c r="A391" t="s">
        <v>574</v>
      </c>
      <c r="B391" t="s">
        <v>994</v>
      </c>
      <c r="C391" t="s">
        <v>1078</v>
      </c>
    </row>
    <row r="392" spans="1:3" x14ac:dyDescent="0.35">
      <c r="A392" t="s">
        <v>276</v>
      </c>
      <c r="B392" t="s">
        <v>1017</v>
      </c>
      <c r="C392" t="s">
        <v>1143</v>
      </c>
    </row>
    <row r="393" spans="1:3" x14ac:dyDescent="0.35">
      <c r="A393" t="s">
        <v>264</v>
      </c>
      <c r="B393" t="s">
        <v>994</v>
      </c>
      <c r="C393" t="s">
        <v>1062</v>
      </c>
    </row>
    <row r="394" spans="1:3" x14ac:dyDescent="0.35">
      <c r="A394" t="s">
        <v>549</v>
      </c>
      <c r="B394" t="s">
        <v>999</v>
      </c>
      <c r="C394" t="s">
        <v>1051</v>
      </c>
    </row>
    <row r="395" spans="1:3" x14ac:dyDescent="0.35">
      <c r="A395" t="s">
        <v>277</v>
      </c>
      <c r="B395" t="s">
        <v>999</v>
      </c>
      <c r="C395" t="s">
        <v>1116</v>
      </c>
    </row>
    <row r="396" spans="1:3" x14ac:dyDescent="0.35">
      <c r="A396" t="s">
        <v>654</v>
      </c>
      <c r="B396" t="s">
        <v>994</v>
      </c>
      <c r="C396" t="s">
        <v>1047</v>
      </c>
    </row>
    <row r="397" spans="1:3" x14ac:dyDescent="0.35">
      <c r="A397" t="s">
        <v>775</v>
      </c>
      <c r="B397" t="s">
        <v>999</v>
      </c>
      <c r="C397" t="s">
        <v>1116</v>
      </c>
    </row>
    <row r="398" spans="1:3" x14ac:dyDescent="0.35">
      <c r="A398" t="s">
        <v>399</v>
      </c>
      <c r="B398" t="s">
        <v>999</v>
      </c>
      <c r="C398" t="s">
        <v>1051</v>
      </c>
    </row>
    <row r="399" spans="1:3" x14ac:dyDescent="0.35">
      <c r="A399" t="s">
        <v>544</v>
      </c>
      <c r="B399" t="s">
        <v>994</v>
      </c>
      <c r="C399" t="s">
        <v>1065</v>
      </c>
    </row>
    <row r="400" spans="1:3" x14ac:dyDescent="0.35">
      <c r="A400" t="s">
        <v>40</v>
      </c>
      <c r="B400" t="s">
        <v>999</v>
      </c>
      <c r="C400" t="s">
        <v>1024</v>
      </c>
    </row>
    <row r="401" spans="1:3" x14ac:dyDescent="0.35">
      <c r="A401" t="s">
        <v>499</v>
      </c>
      <c r="B401" t="s">
        <v>1001</v>
      </c>
      <c r="C401" t="s">
        <v>1055</v>
      </c>
    </row>
    <row r="402" spans="1:3" x14ac:dyDescent="0.35">
      <c r="A402" t="s">
        <v>415</v>
      </c>
      <c r="B402" t="s">
        <v>999</v>
      </c>
      <c r="C402" t="s">
        <v>1098</v>
      </c>
    </row>
    <row r="403" spans="1:3" x14ac:dyDescent="0.35">
      <c r="A403" t="s">
        <v>50</v>
      </c>
      <c r="B403" t="s">
        <v>1017</v>
      </c>
      <c r="C403" t="s">
        <v>1031</v>
      </c>
    </row>
    <row r="404" spans="1:3" x14ac:dyDescent="0.35">
      <c r="A404" t="s">
        <v>395</v>
      </c>
      <c r="B404" t="s">
        <v>1017</v>
      </c>
      <c r="C404" t="s">
        <v>1022</v>
      </c>
    </row>
    <row r="405" spans="1:3" x14ac:dyDescent="0.35">
      <c r="A405" t="s">
        <v>469</v>
      </c>
      <c r="B405" t="s">
        <v>1017</v>
      </c>
      <c r="C405" t="s">
        <v>1031</v>
      </c>
    </row>
    <row r="406" spans="1:3" x14ac:dyDescent="0.35">
      <c r="A406" t="s">
        <v>619</v>
      </c>
      <c r="B406" t="s">
        <v>999</v>
      </c>
      <c r="C406" t="s">
        <v>1020</v>
      </c>
    </row>
    <row r="407" spans="1:3" x14ac:dyDescent="0.35">
      <c r="A407" t="s">
        <v>77</v>
      </c>
      <c r="B407" t="s">
        <v>1017</v>
      </c>
      <c r="C407" t="s">
        <v>1053</v>
      </c>
    </row>
    <row r="408" spans="1:3" x14ac:dyDescent="0.35">
      <c r="A408" t="s">
        <v>205</v>
      </c>
      <c r="B408" t="s">
        <v>1001</v>
      </c>
      <c r="C408" t="s">
        <v>1040</v>
      </c>
    </row>
    <row r="409" spans="1:3" x14ac:dyDescent="0.35">
      <c r="A409" t="s">
        <v>895</v>
      </c>
      <c r="B409" t="s">
        <v>1007</v>
      </c>
      <c r="C409" t="s">
        <v>1134</v>
      </c>
    </row>
    <row r="410" spans="1:3" x14ac:dyDescent="0.35">
      <c r="A410" t="s">
        <v>49</v>
      </c>
      <c r="B410" t="s">
        <v>999</v>
      </c>
      <c r="C410" t="s">
        <v>1030</v>
      </c>
    </row>
    <row r="411" spans="1:3" x14ac:dyDescent="0.35">
      <c r="A411" t="s">
        <v>108</v>
      </c>
      <c r="B411" t="s">
        <v>999</v>
      </c>
      <c r="C411" t="s">
        <v>1073</v>
      </c>
    </row>
    <row r="412" spans="1:3" x14ac:dyDescent="0.35">
      <c r="A412" t="s">
        <v>123</v>
      </c>
      <c r="B412" t="s">
        <v>1001</v>
      </c>
      <c r="C412" t="s">
        <v>1045</v>
      </c>
    </row>
    <row r="413" spans="1:3" x14ac:dyDescent="0.35">
      <c r="A413" t="s">
        <v>175</v>
      </c>
      <c r="B413" t="s">
        <v>999</v>
      </c>
      <c r="C413" t="s">
        <v>1108</v>
      </c>
    </row>
    <row r="414" spans="1:3" x14ac:dyDescent="0.35">
      <c r="A414" t="s">
        <v>30</v>
      </c>
      <c r="B414" t="s">
        <v>999</v>
      </c>
      <c r="C414" t="s">
        <v>1013</v>
      </c>
    </row>
    <row r="415" spans="1:3" x14ac:dyDescent="0.35">
      <c r="A415" t="s">
        <v>116</v>
      </c>
      <c r="B415" t="s">
        <v>994</v>
      </c>
      <c r="C415" t="s">
        <v>1077</v>
      </c>
    </row>
    <row r="416" spans="1:3" x14ac:dyDescent="0.35">
      <c r="A416" t="s">
        <v>898</v>
      </c>
      <c r="B416" t="s">
        <v>994</v>
      </c>
      <c r="C416" t="s">
        <v>1149</v>
      </c>
    </row>
    <row r="417" spans="1:3" x14ac:dyDescent="0.35">
      <c r="A417" t="s">
        <v>852</v>
      </c>
      <c r="B417" t="s">
        <v>999</v>
      </c>
      <c r="C417" t="s">
        <v>1101</v>
      </c>
    </row>
    <row r="418" spans="1:3" x14ac:dyDescent="0.35">
      <c r="A418" t="s">
        <v>592</v>
      </c>
      <c r="B418" t="s">
        <v>999</v>
      </c>
      <c r="C418" t="s">
        <v>1110</v>
      </c>
    </row>
    <row r="419" spans="1:3" x14ac:dyDescent="0.35">
      <c r="A419" t="s">
        <v>815</v>
      </c>
      <c r="B419" t="s">
        <v>1017</v>
      </c>
      <c r="C419" t="s">
        <v>1137</v>
      </c>
    </row>
    <row r="420" spans="1:3" x14ac:dyDescent="0.35">
      <c r="A420" t="s">
        <v>268</v>
      </c>
      <c r="B420" t="s">
        <v>994</v>
      </c>
      <c r="C420" t="s">
        <v>1066</v>
      </c>
    </row>
    <row r="421" spans="1:3" x14ac:dyDescent="0.35">
      <c r="A421" t="s">
        <v>459</v>
      </c>
      <c r="B421" t="s">
        <v>999</v>
      </c>
      <c r="C421" t="s">
        <v>1081</v>
      </c>
    </row>
    <row r="422" spans="1:3" x14ac:dyDescent="0.35">
      <c r="A422" t="s">
        <v>486</v>
      </c>
      <c r="B422" t="s">
        <v>994</v>
      </c>
      <c r="C422" t="s">
        <v>1069</v>
      </c>
    </row>
    <row r="423" spans="1:3" x14ac:dyDescent="0.35">
      <c r="A423" t="s">
        <v>675</v>
      </c>
      <c r="B423" t="s">
        <v>999</v>
      </c>
      <c r="C423" t="s">
        <v>1148</v>
      </c>
    </row>
    <row r="424" spans="1:3" x14ac:dyDescent="0.35">
      <c r="A424" t="s">
        <v>256</v>
      </c>
      <c r="B424" t="s">
        <v>999</v>
      </c>
      <c r="C424" t="s">
        <v>1009</v>
      </c>
    </row>
    <row r="425" spans="1:3" x14ac:dyDescent="0.35">
      <c r="A425" t="s">
        <v>892</v>
      </c>
      <c r="B425" t="s">
        <v>999</v>
      </c>
      <c r="C425" t="s">
        <v>1104</v>
      </c>
    </row>
    <row r="426" spans="1:3" x14ac:dyDescent="0.35">
      <c r="A426" t="s">
        <v>163</v>
      </c>
      <c r="B426" t="s">
        <v>1007</v>
      </c>
      <c r="C426" t="s">
        <v>1103</v>
      </c>
    </row>
    <row r="427" spans="1:3" x14ac:dyDescent="0.35">
      <c r="A427" t="s">
        <v>587</v>
      </c>
      <c r="B427" t="s">
        <v>999</v>
      </c>
      <c r="C427" t="s">
        <v>1110</v>
      </c>
    </row>
    <row r="428" spans="1:3" x14ac:dyDescent="0.35">
      <c r="A428" t="s">
        <v>867</v>
      </c>
      <c r="B428" t="s">
        <v>994</v>
      </c>
      <c r="C428" t="s">
        <v>1153</v>
      </c>
    </row>
    <row r="429" spans="1:3" x14ac:dyDescent="0.35">
      <c r="A429" t="s">
        <v>776</v>
      </c>
      <c r="B429" t="s">
        <v>994</v>
      </c>
      <c r="C429" t="s">
        <v>1171</v>
      </c>
    </row>
    <row r="430" spans="1:3" x14ac:dyDescent="0.35">
      <c r="A430" t="s">
        <v>872</v>
      </c>
      <c r="B430" t="s">
        <v>1017</v>
      </c>
      <c r="C430" t="s">
        <v>1181</v>
      </c>
    </row>
    <row r="431" spans="1:3" x14ac:dyDescent="0.35">
      <c r="A431" t="s">
        <v>566</v>
      </c>
      <c r="B431" t="s">
        <v>1017</v>
      </c>
      <c r="C431" t="s">
        <v>1033</v>
      </c>
    </row>
    <row r="432" spans="1:3" x14ac:dyDescent="0.35">
      <c r="A432" t="s">
        <v>65</v>
      </c>
      <c r="B432" t="s">
        <v>999</v>
      </c>
      <c r="C432" t="s">
        <v>1024</v>
      </c>
    </row>
    <row r="433" spans="1:3" x14ac:dyDescent="0.35">
      <c r="A433" t="s">
        <v>762</v>
      </c>
      <c r="B433" t="s">
        <v>999</v>
      </c>
      <c r="C433" t="s">
        <v>1180</v>
      </c>
    </row>
    <row r="434" spans="1:3" x14ac:dyDescent="0.35">
      <c r="A434" t="s">
        <v>392</v>
      </c>
      <c r="B434" t="s">
        <v>1017</v>
      </c>
      <c r="C434" t="s">
        <v>1100</v>
      </c>
    </row>
    <row r="435" spans="1:3" x14ac:dyDescent="0.35">
      <c r="A435" t="s">
        <v>396</v>
      </c>
      <c r="B435" t="s">
        <v>1017</v>
      </c>
      <c r="C435" t="s">
        <v>1124</v>
      </c>
    </row>
    <row r="436" spans="1:3" x14ac:dyDescent="0.35">
      <c r="A436" t="s">
        <v>778</v>
      </c>
      <c r="B436" t="s">
        <v>994</v>
      </c>
      <c r="C436" t="s">
        <v>1078</v>
      </c>
    </row>
    <row r="437" spans="1:3" x14ac:dyDescent="0.35">
      <c r="A437" t="s">
        <v>93</v>
      </c>
      <c r="B437" t="s">
        <v>994</v>
      </c>
      <c r="C437" t="s">
        <v>1064</v>
      </c>
    </row>
    <row r="438" spans="1:3" x14ac:dyDescent="0.35">
      <c r="A438" t="s">
        <v>607</v>
      </c>
      <c r="B438" t="s">
        <v>994</v>
      </c>
      <c r="C438" t="s">
        <v>1058</v>
      </c>
    </row>
    <row r="439" spans="1:3" x14ac:dyDescent="0.35">
      <c r="A439" t="s">
        <v>20</v>
      </c>
      <c r="B439" t="s">
        <v>1001</v>
      </c>
      <c r="C439" t="s">
        <v>1003</v>
      </c>
    </row>
    <row r="440" spans="1:3" x14ac:dyDescent="0.35">
      <c r="A440" t="s">
        <v>875</v>
      </c>
      <c r="B440" t="s">
        <v>1001</v>
      </c>
      <c r="C440" t="s">
        <v>1082</v>
      </c>
    </row>
    <row r="441" spans="1:3" x14ac:dyDescent="0.35">
      <c r="A441" t="s">
        <v>737</v>
      </c>
      <c r="B441" t="s">
        <v>999</v>
      </c>
      <c r="C441" t="s">
        <v>1132</v>
      </c>
    </row>
    <row r="442" spans="1:3" x14ac:dyDescent="0.35">
      <c r="A442" t="s">
        <v>27</v>
      </c>
      <c r="B442" t="s">
        <v>999</v>
      </c>
      <c r="C442" t="s">
        <v>1010</v>
      </c>
    </row>
    <row r="443" spans="1:3" x14ac:dyDescent="0.35">
      <c r="A443" t="s">
        <v>550</v>
      </c>
      <c r="B443" t="s">
        <v>999</v>
      </c>
      <c r="C443" t="s">
        <v>1037</v>
      </c>
    </row>
    <row r="444" spans="1:3" x14ac:dyDescent="0.35">
      <c r="A444" t="s">
        <v>228</v>
      </c>
      <c r="B444" t="s">
        <v>1001</v>
      </c>
      <c r="C444" t="s">
        <v>1055</v>
      </c>
    </row>
    <row r="445" spans="1:3" x14ac:dyDescent="0.35">
      <c r="A445" t="s">
        <v>498</v>
      </c>
      <c r="B445" t="s">
        <v>1001</v>
      </c>
      <c r="C445" t="s">
        <v>1168</v>
      </c>
    </row>
    <row r="446" spans="1:3" x14ac:dyDescent="0.35">
      <c r="A446" t="s">
        <v>603</v>
      </c>
      <c r="B446" t="s">
        <v>997</v>
      </c>
      <c r="C446" t="s">
        <v>1115</v>
      </c>
    </row>
    <row r="447" spans="1:3" x14ac:dyDescent="0.35">
      <c r="A447" t="s">
        <v>509</v>
      </c>
      <c r="B447" t="s">
        <v>994</v>
      </c>
      <c r="C447" t="s">
        <v>1123</v>
      </c>
    </row>
    <row r="448" spans="1:3" x14ac:dyDescent="0.35">
      <c r="A448" t="s">
        <v>709</v>
      </c>
      <c r="B448" t="s">
        <v>999</v>
      </c>
      <c r="C448" t="s">
        <v>1167</v>
      </c>
    </row>
    <row r="449" spans="1:3" x14ac:dyDescent="0.35">
      <c r="A449" t="s">
        <v>484</v>
      </c>
      <c r="B449" t="s">
        <v>999</v>
      </c>
      <c r="C449" t="s">
        <v>1005</v>
      </c>
    </row>
    <row r="450" spans="1:3" x14ac:dyDescent="0.35">
      <c r="A450" t="s">
        <v>948</v>
      </c>
      <c r="B450" t="s">
        <v>994</v>
      </c>
      <c r="C450" t="s">
        <v>1048</v>
      </c>
    </row>
    <row r="451" spans="1:3" x14ac:dyDescent="0.35">
      <c r="A451" t="s">
        <v>493</v>
      </c>
      <c r="B451" t="s">
        <v>994</v>
      </c>
      <c r="C451" t="s">
        <v>1064</v>
      </c>
    </row>
    <row r="452" spans="1:3" x14ac:dyDescent="0.35">
      <c r="A452" t="s">
        <v>740</v>
      </c>
      <c r="B452" t="s">
        <v>994</v>
      </c>
      <c r="C452" t="s">
        <v>1182</v>
      </c>
    </row>
    <row r="453" spans="1:3" x14ac:dyDescent="0.35">
      <c r="A453" t="s">
        <v>608</v>
      </c>
      <c r="B453" t="s">
        <v>994</v>
      </c>
      <c r="C453" t="s">
        <v>1078</v>
      </c>
    </row>
    <row r="454" spans="1:3" x14ac:dyDescent="0.35">
      <c r="A454" t="s">
        <v>434</v>
      </c>
      <c r="B454" t="s">
        <v>994</v>
      </c>
      <c r="C454" t="s">
        <v>1083</v>
      </c>
    </row>
    <row r="455" spans="1:3" x14ac:dyDescent="0.35">
      <c r="A455" t="s">
        <v>617</v>
      </c>
      <c r="B455" t="s">
        <v>1001</v>
      </c>
      <c r="C455" t="s">
        <v>1155</v>
      </c>
    </row>
    <row r="456" spans="1:3" x14ac:dyDescent="0.35">
      <c r="A456" t="s">
        <v>152</v>
      </c>
      <c r="B456" t="s">
        <v>994</v>
      </c>
      <c r="C456" t="s">
        <v>1077</v>
      </c>
    </row>
    <row r="457" spans="1:3" x14ac:dyDescent="0.35">
      <c r="A457" t="s">
        <v>18</v>
      </c>
      <c r="B457" t="s">
        <v>1001</v>
      </c>
      <c r="C457" t="s">
        <v>1002</v>
      </c>
    </row>
    <row r="458" spans="1:3" x14ac:dyDescent="0.35">
      <c r="A458" t="s">
        <v>497</v>
      </c>
      <c r="B458" t="s">
        <v>999</v>
      </c>
      <c r="C458" t="s">
        <v>1112</v>
      </c>
    </row>
    <row r="459" spans="1:3" x14ac:dyDescent="0.35">
      <c r="A459" t="s">
        <v>593</v>
      </c>
      <c r="B459" t="s">
        <v>994</v>
      </c>
      <c r="C459" t="s">
        <v>1129</v>
      </c>
    </row>
    <row r="460" spans="1:3" x14ac:dyDescent="0.35">
      <c r="A460" t="s">
        <v>707</v>
      </c>
      <c r="B460" t="s">
        <v>1017</v>
      </c>
      <c r="C460" t="s">
        <v>1143</v>
      </c>
    </row>
    <row r="461" spans="1:3" x14ac:dyDescent="0.35">
      <c r="A461" t="s">
        <v>576</v>
      </c>
      <c r="B461" t="s">
        <v>1017</v>
      </c>
      <c r="C461" t="s">
        <v>1021</v>
      </c>
    </row>
    <row r="462" spans="1:3" x14ac:dyDescent="0.35">
      <c r="A462" t="s">
        <v>735</v>
      </c>
      <c r="B462" t="s">
        <v>999</v>
      </c>
      <c r="C462" t="s">
        <v>1086</v>
      </c>
    </row>
    <row r="463" spans="1:3" x14ac:dyDescent="0.35">
      <c r="A463" t="s">
        <v>571</v>
      </c>
      <c r="B463" t="s">
        <v>999</v>
      </c>
      <c r="C463" t="s">
        <v>1030</v>
      </c>
    </row>
    <row r="464" spans="1:3" x14ac:dyDescent="0.35">
      <c r="A464" t="s">
        <v>251</v>
      </c>
      <c r="B464" t="s">
        <v>999</v>
      </c>
      <c r="C464" t="s">
        <v>1054</v>
      </c>
    </row>
    <row r="465" spans="1:3" x14ac:dyDescent="0.35">
      <c r="A465" t="s">
        <v>32</v>
      </c>
      <c r="B465" t="s">
        <v>1001</v>
      </c>
      <c r="C465" t="s">
        <v>1015</v>
      </c>
    </row>
    <row r="466" spans="1:3" x14ac:dyDescent="0.35">
      <c r="A466" t="s">
        <v>218</v>
      </c>
      <c r="B466" t="s">
        <v>999</v>
      </c>
      <c r="C466" t="s">
        <v>1020</v>
      </c>
    </row>
    <row r="467" spans="1:3" x14ac:dyDescent="0.35">
      <c r="A467" t="s">
        <v>352</v>
      </c>
      <c r="B467" t="s">
        <v>1001</v>
      </c>
      <c r="C467" t="s">
        <v>1055</v>
      </c>
    </row>
    <row r="468" spans="1:3" x14ac:dyDescent="0.35">
      <c r="A468" t="s">
        <v>919</v>
      </c>
      <c r="B468" t="s">
        <v>999</v>
      </c>
      <c r="C468" t="s">
        <v>1035</v>
      </c>
    </row>
    <row r="469" spans="1:3" x14ac:dyDescent="0.35">
      <c r="A469" t="s">
        <v>51</v>
      </c>
      <c r="B469" t="s">
        <v>999</v>
      </c>
      <c r="C469" t="s">
        <v>1032</v>
      </c>
    </row>
    <row r="470" spans="1:3" x14ac:dyDescent="0.35">
      <c r="A470" t="s">
        <v>657</v>
      </c>
      <c r="B470" t="s">
        <v>999</v>
      </c>
      <c r="C470" t="s">
        <v>1152</v>
      </c>
    </row>
    <row r="471" spans="1:3" x14ac:dyDescent="0.35">
      <c r="A471" t="s">
        <v>355</v>
      </c>
      <c r="B471" t="s">
        <v>999</v>
      </c>
      <c r="C471" t="s">
        <v>1000</v>
      </c>
    </row>
    <row r="472" spans="1:3" x14ac:dyDescent="0.35">
      <c r="A472" t="s">
        <v>841</v>
      </c>
      <c r="B472" t="s">
        <v>997</v>
      </c>
      <c r="C472" t="s">
        <v>1121</v>
      </c>
    </row>
    <row r="473" spans="1:3" x14ac:dyDescent="0.35">
      <c r="A473" t="s">
        <v>193</v>
      </c>
      <c r="B473" t="s">
        <v>994</v>
      </c>
      <c r="C473" t="s">
        <v>1049</v>
      </c>
    </row>
    <row r="474" spans="1:3" x14ac:dyDescent="0.35">
      <c r="A474" t="s">
        <v>492</v>
      </c>
      <c r="B474" t="s">
        <v>1001</v>
      </c>
      <c r="C474" t="s">
        <v>1055</v>
      </c>
    </row>
    <row r="475" spans="1:3" x14ac:dyDescent="0.35">
      <c r="A475" t="s">
        <v>328</v>
      </c>
      <c r="B475" t="s">
        <v>999</v>
      </c>
      <c r="C475" t="s">
        <v>1016</v>
      </c>
    </row>
    <row r="476" spans="1:3" x14ac:dyDescent="0.35">
      <c r="A476" t="s">
        <v>361</v>
      </c>
      <c r="B476" t="s">
        <v>994</v>
      </c>
      <c r="C476" t="s">
        <v>1048</v>
      </c>
    </row>
    <row r="477" spans="1:3" x14ac:dyDescent="0.35">
      <c r="A477" t="s">
        <v>582</v>
      </c>
      <c r="B477" t="s">
        <v>1001</v>
      </c>
      <c r="C477" t="s">
        <v>1158</v>
      </c>
    </row>
    <row r="478" spans="1:3" x14ac:dyDescent="0.35">
      <c r="A478" t="s">
        <v>412</v>
      </c>
      <c r="B478" t="s">
        <v>999</v>
      </c>
      <c r="C478" t="s">
        <v>1104</v>
      </c>
    </row>
    <row r="479" spans="1:3" x14ac:dyDescent="0.35">
      <c r="A479" t="s">
        <v>367</v>
      </c>
      <c r="B479" t="s">
        <v>997</v>
      </c>
      <c r="C479" t="s">
        <v>1006</v>
      </c>
    </row>
    <row r="480" spans="1:3" x14ac:dyDescent="0.35">
      <c r="A480" t="s">
        <v>214</v>
      </c>
      <c r="B480" t="s">
        <v>994</v>
      </c>
      <c r="C480" t="s">
        <v>1049</v>
      </c>
    </row>
    <row r="481" spans="1:3" x14ac:dyDescent="0.35">
      <c r="A481" t="s">
        <v>246</v>
      </c>
      <c r="B481" t="s">
        <v>1007</v>
      </c>
      <c r="C481" t="s">
        <v>1134</v>
      </c>
    </row>
    <row r="482" spans="1:3" x14ac:dyDescent="0.35">
      <c r="A482" t="s">
        <v>411</v>
      </c>
      <c r="B482" t="s">
        <v>999</v>
      </c>
      <c r="C482" t="s">
        <v>1135</v>
      </c>
    </row>
    <row r="483" spans="1:3" x14ac:dyDescent="0.35">
      <c r="A483" t="s">
        <v>500</v>
      </c>
      <c r="B483" t="s">
        <v>999</v>
      </c>
      <c r="C483" t="s">
        <v>1105</v>
      </c>
    </row>
    <row r="484" spans="1:3" x14ac:dyDescent="0.35">
      <c r="A484" t="s">
        <v>482</v>
      </c>
      <c r="B484" t="s">
        <v>999</v>
      </c>
      <c r="C484" t="s">
        <v>1037</v>
      </c>
    </row>
    <row r="485" spans="1:3" x14ac:dyDescent="0.35">
      <c r="A485" t="s">
        <v>95</v>
      </c>
      <c r="B485" t="s">
        <v>994</v>
      </c>
      <c r="C485" t="s">
        <v>1066</v>
      </c>
    </row>
    <row r="486" spans="1:3" x14ac:dyDescent="0.35">
      <c r="A486" t="s">
        <v>699</v>
      </c>
      <c r="B486" t="s">
        <v>997</v>
      </c>
      <c r="C486" t="s">
        <v>1006</v>
      </c>
    </row>
    <row r="487" spans="1:3" x14ac:dyDescent="0.35">
      <c r="A487" t="s">
        <v>185</v>
      </c>
      <c r="B487" t="s">
        <v>999</v>
      </c>
      <c r="C487" t="s">
        <v>1114</v>
      </c>
    </row>
    <row r="488" spans="1:3" x14ac:dyDescent="0.35">
      <c r="A488" t="s">
        <v>827</v>
      </c>
      <c r="B488" t="s">
        <v>1001</v>
      </c>
      <c r="C488" t="s">
        <v>1174</v>
      </c>
    </row>
    <row r="489" spans="1:3" x14ac:dyDescent="0.35">
      <c r="A489" t="s">
        <v>862</v>
      </c>
      <c r="B489" t="s">
        <v>994</v>
      </c>
      <c r="C489" t="s">
        <v>1072</v>
      </c>
    </row>
    <row r="490" spans="1:3" x14ac:dyDescent="0.35">
      <c r="A490" t="s">
        <v>406</v>
      </c>
      <c r="B490" t="s">
        <v>1017</v>
      </c>
      <c r="C490" t="s">
        <v>1127</v>
      </c>
    </row>
    <row r="491" spans="1:3" x14ac:dyDescent="0.35">
      <c r="A491" t="s">
        <v>595</v>
      </c>
      <c r="B491" t="s">
        <v>999</v>
      </c>
      <c r="C491" t="s">
        <v>1089</v>
      </c>
    </row>
    <row r="492" spans="1:3" x14ac:dyDescent="0.35">
      <c r="A492" t="s">
        <v>558</v>
      </c>
      <c r="B492" t="s">
        <v>999</v>
      </c>
      <c r="C492" t="s">
        <v>1067</v>
      </c>
    </row>
    <row r="493" spans="1:3" x14ac:dyDescent="0.35">
      <c r="A493" t="s">
        <v>561</v>
      </c>
      <c r="B493" t="s">
        <v>999</v>
      </c>
      <c r="C493" t="s">
        <v>1138</v>
      </c>
    </row>
    <row r="494" spans="1:3" x14ac:dyDescent="0.35">
      <c r="A494" t="s">
        <v>255</v>
      </c>
      <c r="B494" t="s">
        <v>1017</v>
      </c>
      <c r="C494" t="s">
        <v>1019</v>
      </c>
    </row>
    <row r="495" spans="1:3" x14ac:dyDescent="0.35">
      <c r="A495" t="s">
        <v>723</v>
      </c>
      <c r="B495" t="s">
        <v>999</v>
      </c>
      <c r="C495" t="s">
        <v>1095</v>
      </c>
    </row>
    <row r="496" spans="1:3" x14ac:dyDescent="0.35">
      <c r="A496" t="s">
        <v>79</v>
      </c>
      <c r="B496" t="s">
        <v>1001</v>
      </c>
      <c r="C496" t="s">
        <v>1055</v>
      </c>
    </row>
    <row r="497" spans="1:3" x14ac:dyDescent="0.35">
      <c r="A497" t="s">
        <v>471</v>
      </c>
      <c r="B497" t="s">
        <v>999</v>
      </c>
      <c r="C497" t="s">
        <v>1162</v>
      </c>
    </row>
    <row r="498" spans="1:3" x14ac:dyDescent="0.35">
      <c r="A498" t="s">
        <v>946</v>
      </c>
      <c r="B498" t="s">
        <v>994</v>
      </c>
      <c r="C498" t="s">
        <v>1131</v>
      </c>
    </row>
    <row r="499" spans="1:3" x14ac:dyDescent="0.35">
      <c r="A499" t="s">
        <v>928</v>
      </c>
      <c r="B499" t="s">
        <v>997</v>
      </c>
      <c r="C499" t="s">
        <v>1121</v>
      </c>
    </row>
    <row r="500" spans="1:3" x14ac:dyDescent="0.35">
      <c r="A500" t="s">
        <v>528</v>
      </c>
      <c r="B500" t="s">
        <v>999</v>
      </c>
      <c r="C500" t="s">
        <v>1138</v>
      </c>
    </row>
    <row r="501" spans="1:3" x14ac:dyDescent="0.35">
      <c r="A501" t="s">
        <v>670</v>
      </c>
      <c r="B501" t="s">
        <v>994</v>
      </c>
      <c r="C501" t="s">
        <v>1163</v>
      </c>
    </row>
    <row r="502" spans="1:3" x14ac:dyDescent="0.35">
      <c r="A502" t="s">
        <v>710</v>
      </c>
      <c r="B502" t="s">
        <v>999</v>
      </c>
      <c r="C502" t="s">
        <v>1116</v>
      </c>
    </row>
    <row r="503" spans="1:3" x14ac:dyDescent="0.35">
      <c r="A503" t="s">
        <v>372</v>
      </c>
      <c r="B503" t="s">
        <v>1017</v>
      </c>
      <c r="C503" t="s">
        <v>1140</v>
      </c>
    </row>
    <row r="504" spans="1:3" x14ac:dyDescent="0.35">
      <c r="A504" t="s">
        <v>188</v>
      </c>
      <c r="B504" t="s">
        <v>1017</v>
      </c>
      <c r="C504" t="s">
        <v>1050</v>
      </c>
    </row>
    <row r="505" spans="1:3" x14ac:dyDescent="0.35">
      <c r="A505" t="s">
        <v>785</v>
      </c>
      <c r="B505" t="s">
        <v>1017</v>
      </c>
      <c r="C505" t="s">
        <v>1075</v>
      </c>
    </row>
    <row r="506" spans="1:3" x14ac:dyDescent="0.35">
      <c r="A506" t="s">
        <v>713</v>
      </c>
      <c r="B506" t="s">
        <v>1017</v>
      </c>
      <c r="C506" t="s">
        <v>1181</v>
      </c>
    </row>
    <row r="507" spans="1:3" x14ac:dyDescent="0.35">
      <c r="A507" t="s">
        <v>610</v>
      </c>
      <c r="B507" t="s">
        <v>1017</v>
      </c>
      <c r="C507" t="s">
        <v>1050</v>
      </c>
    </row>
    <row r="508" spans="1:3" x14ac:dyDescent="0.35">
      <c r="A508" t="s">
        <v>409</v>
      </c>
      <c r="B508" t="s">
        <v>994</v>
      </c>
      <c r="C508" t="s">
        <v>1029</v>
      </c>
    </row>
    <row r="509" spans="1:3" x14ac:dyDescent="0.35">
      <c r="A509" t="s">
        <v>164</v>
      </c>
      <c r="B509" t="s">
        <v>999</v>
      </c>
      <c r="C509" t="s">
        <v>1104</v>
      </c>
    </row>
    <row r="510" spans="1:3" x14ac:dyDescent="0.35">
      <c r="A510" t="s">
        <v>553</v>
      </c>
      <c r="B510" t="s">
        <v>999</v>
      </c>
      <c r="C510" t="s">
        <v>1067</v>
      </c>
    </row>
    <row r="511" spans="1:3" x14ac:dyDescent="0.35">
      <c r="A511" t="s">
        <v>350</v>
      </c>
      <c r="B511" t="s">
        <v>999</v>
      </c>
      <c r="C511" t="s">
        <v>1135</v>
      </c>
    </row>
    <row r="512" spans="1:3" x14ac:dyDescent="0.35">
      <c r="A512" t="s">
        <v>331</v>
      </c>
      <c r="B512" t="s">
        <v>999</v>
      </c>
      <c r="C512" t="s">
        <v>1135</v>
      </c>
    </row>
    <row r="513" spans="1:3" x14ac:dyDescent="0.35">
      <c r="A513" t="s">
        <v>626</v>
      </c>
      <c r="B513" t="s">
        <v>999</v>
      </c>
      <c r="C513" t="s">
        <v>1180</v>
      </c>
    </row>
    <row r="514" spans="1:3" x14ac:dyDescent="0.35">
      <c r="A514" t="s">
        <v>516</v>
      </c>
      <c r="B514" t="s">
        <v>999</v>
      </c>
      <c r="C514" t="s">
        <v>1098</v>
      </c>
    </row>
    <row r="515" spans="1:3" x14ac:dyDescent="0.35">
      <c r="A515" t="s">
        <v>900</v>
      </c>
      <c r="B515" t="s">
        <v>999</v>
      </c>
      <c r="C515" t="s">
        <v>1076</v>
      </c>
    </row>
    <row r="516" spans="1:3" x14ac:dyDescent="0.35">
      <c r="A516" t="s">
        <v>135</v>
      </c>
      <c r="B516" t="s">
        <v>994</v>
      </c>
      <c r="C516" t="s">
        <v>1088</v>
      </c>
    </row>
    <row r="517" spans="1:3" x14ac:dyDescent="0.35">
      <c r="A517" t="s">
        <v>759</v>
      </c>
      <c r="B517" t="s">
        <v>994</v>
      </c>
      <c r="C517" t="s">
        <v>1123</v>
      </c>
    </row>
    <row r="518" spans="1:3" x14ac:dyDescent="0.35">
      <c r="A518" t="s">
        <v>630</v>
      </c>
      <c r="B518" t="s">
        <v>999</v>
      </c>
      <c r="C518" t="s">
        <v>1135</v>
      </c>
    </row>
    <row r="519" spans="1:3" x14ac:dyDescent="0.35">
      <c r="A519" t="s">
        <v>546</v>
      </c>
      <c r="B519" t="s">
        <v>1017</v>
      </c>
      <c r="C519" t="s">
        <v>1053</v>
      </c>
    </row>
    <row r="520" spans="1:3" x14ac:dyDescent="0.35">
      <c r="A520" t="s">
        <v>955</v>
      </c>
      <c r="B520" t="s">
        <v>1017</v>
      </c>
      <c r="C520" t="s">
        <v>1034</v>
      </c>
    </row>
    <row r="521" spans="1:3" x14ac:dyDescent="0.35">
      <c r="A521" t="s">
        <v>362</v>
      </c>
      <c r="B521" t="s">
        <v>999</v>
      </c>
      <c r="C521" t="s">
        <v>1056</v>
      </c>
    </row>
    <row r="522" spans="1:3" x14ac:dyDescent="0.35">
      <c r="A522" t="s">
        <v>667</v>
      </c>
      <c r="B522" t="s">
        <v>994</v>
      </c>
      <c r="C522" t="s">
        <v>1120</v>
      </c>
    </row>
    <row r="523" spans="1:3" x14ac:dyDescent="0.35">
      <c r="A523" t="s">
        <v>245</v>
      </c>
      <c r="B523" t="s">
        <v>1001</v>
      </c>
      <c r="C523" t="s">
        <v>1091</v>
      </c>
    </row>
    <row r="524" spans="1:3" x14ac:dyDescent="0.35">
      <c r="A524" t="s">
        <v>532</v>
      </c>
      <c r="B524" t="s">
        <v>1017</v>
      </c>
      <c r="C524" t="s">
        <v>1172</v>
      </c>
    </row>
    <row r="525" spans="1:3" x14ac:dyDescent="0.35">
      <c r="A525" t="s">
        <v>876</v>
      </c>
      <c r="B525" t="s">
        <v>997</v>
      </c>
      <c r="C525" t="s">
        <v>1126</v>
      </c>
    </row>
    <row r="526" spans="1:3" x14ac:dyDescent="0.35">
      <c r="A526" t="s">
        <v>33</v>
      </c>
      <c r="B526" t="s">
        <v>999</v>
      </c>
      <c r="C526" t="s">
        <v>1016</v>
      </c>
    </row>
    <row r="527" spans="1:3" x14ac:dyDescent="0.35">
      <c r="A527" t="s">
        <v>128</v>
      </c>
      <c r="B527" t="s">
        <v>1017</v>
      </c>
      <c r="C527" t="s">
        <v>1059</v>
      </c>
    </row>
    <row r="528" spans="1:3" x14ac:dyDescent="0.35">
      <c r="A528" t="s">
        <v>67</v>
      </c>
      <c r="B528" t="s">
        <v>999</v>
      </c>
      <c r="C528" t="s">
        <v>1013</v>
      </c>
    </row>
    <row r="529" spans="1:3" x14ac:dyDescent="0.35">
      <c r="A529" t="s">
        <v>450</v>
      </c>
      <c r="B529" t="s">
        <v>997</v>
      </c>
      <c r="C529" t="s">
        <v>1038</v>
      </c>
    </row>
    <row r="530" spans="1:3" x14ac:dyDescent="0.35">
      <c r="A530" t="s">
        <v>156</v>
      </c>
      <c r="B530" t="s">
        <v>1017</v>
      </c>
      <c r="C530" t="s">
        <v>1036</v>
      </c>
    </row>
    <row r="531" spans="1:3" x14ac:dyDescent="0.35">
      <c r="A531" t="s">
        <v>632</v>
      </c>
      <c r="B531" t="s">
        <v>1001</v>
      </c>
      <c r="C531" t="s">
        <v>1161</v>
      </c>
    </row>
    <row r="532" spans="1:3" x14ac:dyDescent="0.35">
      <c r="A532" t="s">
        <v>121</v>
      </c>
      <c r="B532" t="s">
        <v>994</v>
      </c>
      <c r="C532" t="s">
        <v>1080</v>
      </c>
    </row>
    <row r="533" spans="1:3" x14ac:dyDescent="0.35">
      <c r="A533" t="s">
        <v>390</v>
      </c>
      <c r="B533" t="s">
        <v>994</v>
      </c>
      <c r="C533" t="s">
        <v>1129</v>
      </c>
    </row>
    <row r="534" spans="1:3" x14ac:dyDescent="0.35">
      <c r="A534" t="s">
        <v>215</v>
      </c>
      <c r="B534" t="s">
        <v>999</v>
      </c>
      <c r="C534" t="s">
        <v>1122</v>
      </c>
    </row>
    <row r="535" spans="1:3" x14ac:dyDescent="0.35">
      <c r="A535" t="s">
        <v>646</v>
      </c>
      <c r="B535" t="s">
        <v>999</v>
      </c>
      <c r="C535" t="s">
        <v>1032</v>
      </c>
    </row>
    <row r="536" spans="1:3" x14ac:dyDescent="0.35">
      <c r="A536" t="s">
        <v>629</v>
      </c>
      <c r="B536" t="s">
        <v>1017</v>
      </c>
      <c r="C536" t="s">
        <v>1140</v>
      </c>
    </row>
    <row r="537" spans="1:3" x14ac:dyDescent="0.35">
      <c r="A537" t="s">
        <v>233</v>
      </c>
      <c r="B537" t="s">
        <v>994</v>
      </c>
      <c r="C537" t="s">
        <v>996</v>
      </c>
    </row>
    <row r="538" spans="1:3" x14ac:dyDescent="0.35">
      <c r="A538" t="s">
        <v>559</v>
      </c>
      <c r="B538" t="s">
        <v>999</v>
      </c>
      <c r="C538" t="s">
        <v>1000</v>
      </c>
    </row>
    <row r="539" spans="1:3" x14ac:dyDescent="0.35">
      <c r="A539" t="s">
        <v>927</v>
      </c>
      <c r="B539" t="s">
        <v>994</v>
      </c>
      <c r="C539" t="s">
        <v>1083</v>
      </c>
    </row>
    <row r="540" spans="1:3" x14ac:dyDescent="0.35">
      <c r="A540" t="s">
        <v>830</v>
      </c>
      <c r="B540" t="s">
        <v>1001</v>
      </c>
      <c r="C540" t="s">
        <v>1161</v>
      </c>
    </row>
    <row r="541" spans="1:3" x14ac:dyDescent="0.35">
      <c r="A541" t="s">
        <v>573</v>
      </c>
      <c r="B541" t="s">
        <v>994</v>
      </c>
      <c r="C541" t="s">
        <v>1149</v>
      </c>
    </row>
    <row r="542" spans="1:3" x14ac:dyDescent="0.35">
      <c r="A542" t="s">
        <v>672</v>
      </c>
      <c r="B542" t="s">
        <v>1001</v>
      </c>
      <c r="C542" t="s">
        <v>1174</v>
      </c>
    </row>
    <row r="543" spans="1:3" x14ac:dyDescent="0.35">
      <c r="A543" t="s">
        <v>623</v>
      </c>
      <c r="B543" t="s">
        <v>1017</v>
      </c>
      <c r="C543" t="s">
        <v>1036</v>
      </c>
    </row>
    <row r="544" spans="1:3" x14ac:dyDescent="0.35">
      <c r="A544" t="s">
        <v>655</v>
      </c>
      <c r="B544" t="s">
        <v>999</v>
      </c>
      <c r="C544" t="s">
        <v>1089</v>
      </c>
    </row>
    <row r="545" spans="1:3" x14ac:dyDescent="0.35">
      <c r="A545" t="s">
        <v>802</v>
      </c>
      <c r="B545" t="s">
        <v>999</v>
      </c>
      <c r="C545" t="s">
        <v>1108</v>
      </c>
    </row>
    <row r="546" spans="1:3" x14ac:dyDescent="0.35">
      <c r="A546" t="s">
        <v>547</v>
      </c>
      <c r="B546" t="s">
        <v>999</v>
      </c>
      <c r="C546" t="s">
        <v>1057</v>
      </c>
    </row>
    <row r="547" spans="1:3" x14ac:dyDescent="0.35">
      <c r="A547" t="s">
        <v>222</v>
      </c>
      <c r="B547" t="s">
        <v>999</v>
      </c>
      <c r="C547" t="s">
        <v>1056</v>
      </c>
    </row>
    <row r="548" spans="1:3" x14ac:dyDescent="0.35">
      <c r="A548" t="s">
        <v>342</v>
      </c>
      <c r="B548" t="s">
        <v>994</v>
      </c>
      <c r="C548" t="s">
        <v>1064</v>
      </c>
    </row>
    <row r="549" spans="1:3" x14ac:dyDescent="0.35">
      <c r="A549" t="s">
        <v>57</v>
      </c>
      <c r="B549" t="s">
        <v>999</v>
      </c>
      <c r="C549" t="s">
        <v>1037</v>
      </c>
    </row>
    <row r="550" spans="1:3" x14ac:dyDescent="0.35">
      <c r="A550" t="s">
        <v>622</v>
      </c>
      <c r="B550" t="s">
        <v>1001</v>
      </c>
      <c r="C550" t="s">
        <v>1070</v>
      </c>
    </row>
    <row r="551" spans="1:3" x14ac:dyDescent="0.35">
      <c r="A551" t="s">
        <v>728</v>
      </c>
      <c r="B551" t="s">
        <v>999</v>
      </c>
      <c r="C551" t="s">
        <v>1092</v>
      </c>
    </row>
    <row r="552" spans="1:3" x14ac:dyDescent="0.35">
      <c r="A552" t="s">
        <v>80</v>
      </c>
      <c r="B552" t="s">
        <v>999</v>
      </c>
      <c r="C552" t="s">
        <v>1056</v>
      </c>
    </row>
    <row r="553" spans="1:3" x14ac:dyDescent="0.35">
      <c r="A553" t="s">
        <v>951</v>
      </c>
      <c r="B553" t="s">
        <v>999</v>
      </c>
      <c r="C553" t="s">
        <v>1025</v>
      </c>
    </row>
    <row r="554" spans="1:3" x14ac:dyDescent="0.35">
      <c r="A554" t="s">
        <v>747</v>
      </c>
      <c r="B554" t="s">
        <v>999</v>
      </c>
      <c r="C554" t="s">
        <v>1098</v>
      </c>
    </row>
    <row r="555" spans="1:3" x14ac:dyDescent="0.35">
      <c r="A555" t="s">
        <v>526</v>
      </c>
      <c r="B555" t="s">
        <v>994</v>
      </c>
      <c r="C555" t="s">
        <v>1153</v>
      </c>
    </row>
    <row r="556" spans="1:3" x14ac:dyDescent="0.35">
      <c r="A556" t="s">
        <v>718</v>
      </c>
      <c r="B556" t="s">
        <v>994</v>
      </c>
      <c r="C556" t="s">
        <v>1083</v>
      </c>
    </row>
    <row r="557" spans="1:3" x14ac:dyDescent="0.35">
      <c r="A557" t="s">
        <v>751</v>
      </c>
      <c r="B557" t="s">
        <v>994</v>
      </c>
      <c r="C557" t="s">
        <v>1072</v>
      </c>
    </row>
    <row r="558" spans="1:3" x14ac:dyDescent="0.35">
      <c r="A558" t="s">
        <v>288</v>
      </c>
      <c r="B558" t="s">
        <v>1001</v>
      </c>
      <c r="C558" t="s">
        <v>1015</v>
      </c>
    </row>
    <row r="559" spans="1:3" x14ac:dyDescent="0.35">
      <c r="A559" t="s">
        <v>642</v>
      </c>
      <c r="B559" t="s">
        <v>999</v>
      </c>
      <c r="C559" t="s">
        <v>1010</v>
      </c>
    </row>
    <row r="560" spans="1:3" x14ac:dyDescent="0.35">
      <c r="A560" t="s">
        <v>824</v>
      </c>
      <c r="B560" t="s">
        <v>997</v>
      </c>
      <c r="C560" t="s">
        <v>1093</v>
      </c>
    </row>
    <row r="561" spans="1:3" x14ac:dyDescent="0.35">
      <c r="A561" t="s">
        <v>791</v>
      </c>
      <c r="B561" t="s">
        <v>999</v>
      </c>
      <c r="C561" t="s">
        <v>1177</v>
      </c>
    </row>
    <row r="562" spans="1:3" x14ac:dyDescent="0.35">
      <c r="A562" t="s">
        <v>542</v>
      </c>
      <c r="B562" t="s">
        <v>999</v>
      </c>
      <c r="C562" t="s">
        <v>1046</v>
      </c>
    </row>
    <row r="563" spans="1:3" x14ac:dyDescent="0.35">
      <c r="A563" t="s">
        <v>243</v>
      </c>
      <c r="B563" t="s">
        <v>994</v>
      </c>
      <c r="C563" t="s">
        <v>1133</v>
      </c>
    </row>
    <row r="564" spans="1:3" x14ac:dyDescent="0.35">
      <c r="A564" t="s">
        <v>371</v>
      </c>
      <c r="B564" t="s">
        <v>994</v>
      </c>
      <c r="C564" t="s">
        <v>1133</v>
      </c>
    </row>
    <row r="565" spans="1:3" x14ac:dyDescent="0.35">
      <c r="A565" t="s">
        <v>103</v>
      </c>
      <c r="B565" t="s">
        <v>994</v>
      </c>
      <c r="C565" t="s">
        <v>1066</v>
      </c>
    </row>
    <row r="566" spans="1:3" x14ac:dyDescent="0.35">
      <c r="A566" t="s">
        <v>935</v>
      </c>
      <c r="B566" t="s">
        <v>997</v>
      </c>
      <c r="C566" t="s">
        <v>1006</v>
      </c>
    </row>
    <row r="567" spans="1:3" x14ac:dyDescent="0.35">
      <c r="A567" t="s">
        <v>575</v>
      </c>
      <c r="B567" t="s">
        <v>999</v>
      </c>
      <c r="C567" t="s">
        <v>1128</v>
      </c>
    </row>
    <row r="568" spans="1:3" x14ac:dyDescent="0.35">
      <c r="A568" t="s">
        <v>540</v>
      </c>
      <c r="B568" t="s">
        <v>1001</v>
      </c>
      <c r="C568" t="s">
        <v>1045</v>
      </c>
    </row>
    <row r="569" spans="1:3" x14ac:dyDescent="0.35">
      <c r="A569" t="s">
        <v>525</v>
      </c>
      <c r="B569" t="s">
        <v>997</v>
      </c>
      <c r="C569" t="s">
        <v>1014</v>
      </c>
    </row>
    <row r="570" spans="1:3" x14ac:dyDescent="0.35">
      <c r="A570" t="s">
        <v>794</v>
      </c>
      <c r="B570" t="s">
        <v>994</v>
      </c>
      <c r="C570" t="s">
        <v>1157</v>
      </c>
    </row>
    <row r="571" spans="1:3" x14ac:dyDescent="0.35">
      <c r="A571" t="s">
        <v>81</v>
      </c>
      <c r="B571" t="s">
        <v>999</v>
      </c>
      <c r="C571" t="s">
        <v>1057</v>
      </c>
    </row>
    <row r="572" spans="1:3" x14ac:dyDescent="0.35">
      <c r="A572" t="s">
        <v>719</v>
      </c>
      <c r="B572" t="s">
        <v>999</v>
      </c>
      <c r="C572" t="s">
        <v>1011</v>
      </c>
    </row>
    <row r="573" spans="1:3" x14ac:dyDescent="0.35">
      <c r="A573" t="s">
        <v>478</v>
      </c>
      <c r="B573" t="s">
        <v>994</v>
      </c>
      <c r="C573" t="s">
        <v>1088</v>
      </c>
    </row>
    <row r="574" spans="1:3" x14ac:dyDescent="0.35">
      <c r="A574" t="s">
        <v>569</v>
      </c>
      <c r="B574" t="s">
        <v>994</v>
      </c>
      <c r="C574" t="s">
        <v>1048</v>
      </c>
    </row>
    <row r="575" spans="1:3" x14ac:dyDescent="0.35">
      <c r="A575" t="s">
        <v>400</v>
      </c>
      <c r="B575" t="s">
        <v>1017</v>
      </c>
      <c r="C575" t="s">
        <v>1127</v>
      </c>
    </row>
    <row r="576" spans="1:3" x14ac:dyDescent="0.35">
      <c r="A576" t="s">
        <v>447</v>
      </c>
      <c r="B576" t="s">
        <v>999</v>
      </c>
      <c r="C576" t="s">
        <v>1005</v>
      </c>
    </row>
    <row r="577" spans="1:3" x14ac:dyDescent="0.35">
      <c r="A577" t="s">
        <v>715</v>
      </c>
      <c r="B577" t="s">
        <v>1017</v>
      </c>
      <c r="C577" t="s">
        <v>1127</v>
      </c>
    </row>
    <row r="578" spans="1:3" x14ac:dyDescent="0.35">
      <c r="A578" t="s">
        <v>750</v>
      </c>
      <c r="B578" t="s">
        <v>999</v>
      </c>
      <c r="C578" t="s">
        <v>1056</v>
      </c>
    </row>
    <row r="579" spans="1:3" x14ac:dyDescent="0.35">
      <c r="A579" t="s">
        <v>847</v>
      </c>
      <c r="B579" t="s">
        <v>997</v>
      </c>
      <c r="C579" t="s">
        <v>1006</v>
      </c>
    </row>
    <row r="580" spans="1:3" x14ac:dyDescent="0.35">
      <c r="A580" t="s">
        <v>356</v>
      </c>
      <c r="B580" t="s">
        <v>1017</v>
      </c>
      <c r="C580" t="s">
        <v>1140</v>
      </c>
    </row>
    <row r="581" spans="1:3" x14ac:dyDescent="0.35">
      <c r="A581" t="s">
        <v>891</v>
      </c>
      <c r="B581" t="s">
        <v>994</v>
      </c>
      <c r="C581" t="s">
        <v>1120</v>
      </c>
    </row>
    <row r="582" spans="1:3" x14ac:dyDescent="0.35">
      <c r="A582" t="s">
        <v>404</v>
      </c>
      <c r="B582" t="s">
        <v>1001</v>
      </c>
      <c r="C582" t="s">
        <v>1002</v>
      </c>
    </row>
    <row r="583" spans="1:3" x14ac:dyDescent="0.35">
      <c r="A583" t="s">
        <v>285</v>
      </c>
      <c r="B583" t="s">
        <v>994</v>
      </c>
      <c r="C583" t="s">
        <v>1069</v>
      </c>
    </row>
    <row r="584" spans="1:3" x14ac:dyDescent="0.35">
      <c r="A584" t="s">
        <v>254</v>
      </c>
      <c r="B584" t="s">
        <v>1001</v>
      </c>
      <c r="C584" t="s">
        <v>1039</v>
      </c>
    </row>
    <row r="585" spans="1:3" x14ac:dyDescent="0.35">
      <c r="A585" t="s">
        <v>806</v>
      </c>
      <c r="B585" t="s">
        <v>999</v>
      </c>
      <c r="C585" t="s">
        <v>1183</v>
      </c>
    </row>
    <row r="586" spans="1:3" x14ac:dyDescent="0.35">
      <c r="A586" t="s">
        <v>901</v>
      </c>
      <c r="B586" t="s">
        <v>994</v>
      </c>
      <c r="C586" t="s">
        <v>1123</v>
      </c>
    </row>
    <row r="587" spans="1:3" x14ac:dyDescent="0.35">
      <c r="A587" t="s">
        <v>310</v>
      </c>
      <c r="B587" t="s">
        <v>994</v>
      </c>
      <c r="C587" t="s">
        <v>1072</v>
      </c>
    </row>
    <row r="588" spans="1:3" x14ac:dyDescent="0.35">
      <c r="A588" t="s">
        <v>812</v>
      </c>
      <c r="B588" t="s">
        <v>994</v>
      </c>
      <c r="C588" t="s">
        <v>1182</v>
      </c>
    </row>
    <row r="589" spans="1:3" x14ac:dyDescent="0.35">
      <c r="A589" t="s">
        <v>810</v>
      </c>
      <c r="B589" t="s">
        <v>1017</v>
      </c>
      <c r="C589" t="s">
        <v>1127</v>
      </c>
    </row>
    <row r="590" spans="1:3" x14ac:dyDescent="0.35">
      <c r="A590" t="s">
        <v>577</v>
      </c>
      <c r="B590" t="s">
        <v>999</v>
      </c>
      <c r="C590" t="s">
        <v>1101</v>
      </c>
    </row>
    <row r="591" spans="1:3" x14ac:dyDescent="0.35">
      <c r="A591" t="s">
        <v>379</v>
      </c>
      <c r="B591" t="s">
        <v>1017</v>
      </c>
      <c r="C591" t="s">
        <v>1085</v>
      </c>
    </row>
    <row r="592" spans="1:3" x14ac:dyDescent="0.35">
      <c r="A592" t="s">
        <v>190</v>
      </c>
      <c r="B592" t="s">
        <v>999</v>
      </c>
      <c r="C592" t="s">
        <v>1068</v>
      </c>
    </row>
    <row r="593" spans="1:3" x14ac:dyDescent="0.35">
      <c r="A593" t="s">
        <v>502</v>
      </c>
      <c r="B593" t="s">
        <v>1001</v>
      </c>
      <c r="C593" t="s">
        <v>1168</v>
      </c>
    </row>
    <row r="594" spans="1:3" x14ac:dyDescent="0.35">
      <c r="A594" t="s">
        <v>138</v>
      </c>
      <c r="B594" t="s">
        <v>999</v>
      </c>
      <c r="C594" t="s">
        <v>1090</v>
      </c>
    </row>
    <row r="595" spans="1:3" x14ac:dyDescent="0.35">
      <c r="A595" t="s">
        <v>433</v>
      </c>
      <c r="B595" t="s">
        <v>999</v>
      </c>
      <c r="C595" t="s">
        <v>1114</v>
      </c>
    </row>
    <row r="596" spans="1:3" x14ac:dyDescent="0.35">
      <c r="A596" t="s">
        <v>615</v>
      </c>
      <c r="B596" t="s">
        <v>994</v>
      </c>
      <c r="C596" t="s">
        <v>1123</v>
      </c>
    </row>
    <row r="597" spans="1:3" x14ac:dyDescent="0.35">
      <c r="A597" t="s">
        <v>925</v>
      </c>
      <c r="B597" t="s">
        <v>997</v>
      </c>
      <c r="C597" t="s">
        <v>1139</v>
      </c>
    </row>
    <row r="598" spans="1:3" x14ac:dyDescent="0.35">
      <c r="A598" t="s">
        <v>273</v>
      </c>
      <c r="B598" t="s">
        <v>994</v>
      </c>
      <c r="C598" t="s">
        <v>1144</v>
      </c>
    </row>
    <row r="599" spans="1:3" x14ac:dyDescent="0.35">
      <c r="A599" t="s">
        <v>905</v>
      </c>
      <c r="B599" t="s">
        <v>999</v>
      </c>
      <c r="C599" t="s">
        <v>1035</v>
      </c>
    </row>
    <row r="600" spans="1:3" x14ac:dyDescent="0.35">
      <c r="A600" t="s">
        <v>110</v>
      </c>
      <c r="B600" t="s">
        <v>994</v>
      </c>
      <c r="C600" t="s">
        <v>1058</v>
      </c>
    </row>
    <row r="601" spans="1:3" x14ac:dyDescent="0.35">
      <c r="A601" t="s">
        <v>821</v>
      </c>
      <c r="B601" t="s">
        <v>999</v>
      </c>
      <c r="C601" t="s">
        <v>1136</v>
      </c>
    </row>
    <row r="602" spans="1:3" x14ac:dyDescent="0.35">
      <c r="A602" t="s">
        <v>864</v>
      </c>
      <c r="B602" t="s">
        <v>1007</v>
      </c>
      <c r="C602" t="s">
        <v>1154</v>
      </c>
    </row>
    <row r="603" spans="1:3" x14ac:dyDescent="0.35">
      <c r="A603" t="s">
        <v>541</v>
      </c>
      <c r="B603" t="s">
        <v>999</v>
      </c>
      <c r="C603" t="s">
        <v>1020</v>
      </c>
    </row>
    <row r="604" spans="1:3" x14ac:dyDescent="0.35">
      <c r="A604" t="s">
        <v>929</v>
      </c>
      <c r="B604" t="s">
        <v>994</v>
      </c>
      <c r="C604" t="s">
        <v>1062</v>
      </c>
    </row>
    <row r="605" spans="1:3" x14ac:dyDescent="0.35">
      <c r="A605" t="s">
        <v>98</v>
      </c>
      <c r="B605" t="s">
        <v>994</v>
      </c>
      <c r="C605" t="s">
        <v>1065</v>
      </c>
    </row>
    <row r="606" spans="1:3" x14ac:dyDescent="0.35">
      <c r="A606" t="s">
        <v>349</v>
      </c>
      <c r="B606" t="s">
        <v>1017</v>
      </c>
      <c r="C606" t="s">
        <v>1043</v>
      </c>
    </row>
    <row r="607" spans="1:3" x14ac:dyDescent="0.35">
      <c r="A607" t="s">
        <v>72</v>
      </c>
      <c r="B607" t="s">
        <v>994</v>
      </c>
      <c r="C607" t="s">
        <v>1048</v>
      </c>
    </row>
    <row r="608" spans="1:3" x14ac:dyDescent="0.35">
      <c r="A608" t="s">
        <v>833</v>
      </c>
      <c r="B608" t="s">
        <v>999</v>
      </c>
      <c r="C608" t="s">
        <v>1146</v>
      </c>
    </row>
    <row r="609" spans="1:3" x14ac:dyDescent="0.35">
      <c r="A609" t="s">
        <v>937</v>
      </c>
      <c r="B609" t="s">
        <v>1001</v>
      </c>
      <c r="C609" t="s">
        <v>1015</v>
      </c>
    </row>
    <row r="610" spans="1:3" x14ac:dyDescent="0.35">
      <c r="A610" t="s">
        <v>663</v>
      </c>
      <c r="B610" t="s">
        <v>999</v>
      </c>
      <c r="C610" t="s">
        <v>1177</v>
      </c>
    </row>
    <row r="611" spans="1:3" x14ac:dyDescent="0.35">
      <c r="A611" t="s">
        <v>727</v>
      </c>
      <c r="B611" t="s">
        <v>999</v>
      </c>
      <c r="C611" t="s">
        <v>1173</v>
      </c>
    </row>
    <row r="612" spans="1:3" x14ac:dyDescent="0.35">
      <c r="A612" t="s">
        <v>741</v>
      </c>
      <c r="B612" t="s">
        <v>1017</v>
      </c>
      <c r="C612" t="s">
        <v>1059</v>
      </c>
    </row>
    <row r="613" spans="1:3" x14ac:dyDescent="0.35">
      <c r="A613" t="s">
        <v>428</v>
      </c>
      <c r="B613" t="s">
        <v>999</v>
      </c>
      <c r="C613" t="s">
        <v>1013</v>
      </c>
    </row>
    <row r="614" spans="1:3" x14ac:dyDescent="0.35">
      <c r="A614" t="s">
        <v>813</v>
      </c>
      <c r="B614" t="s">
        <v>999</v>
      </c>
      <c r="C614" t="s">
        <v>1097</v>
      </c>
    </row>
    <row r="615" spans="1:3" x14ac:dyDescent="0.35">
      <c r="A615" t="s">
        <v>959</v>
      </c>
      <c r="B615" t="s">
        <v>994</v>
      </c>
      <c r="C615" t="s">
        <v>1163</v>
      </c>
    </row>
    <row r="616" spans="1:3" x14ac:dyDescent="0.35">
      <c r="A616" t="s">
        <v>766</v>
      </c>
      <c r="B616" t="s">
        <v>1007</v>
      </c>
      <c r="C616" t="s">
        <v>1154</v>
      </c>
    </row>
    <row r="617" spans="1:3" x14ac:dyDescent="0.35">
      <c r="A617" t="s">
        <v>281</v>
      </c>
      <c r="B617" t="s">
        <v>1017</v>
      </c>
      <c r="C617" t="s">
        <v>1094</v>
      </c>
    </row>
    <row r="618" spans="1:3" x14ac:dyDescent="0.35">
      <c r="A618" t="s">
        <v>296</v>
      </c>
      <c r="B618" t="s">
        <v>1017</v>
      </c>
      <c r="C618" t="s">
        <v>1022</v>
      </c>
    </row>
    <row r="619" spans="1:3" x14ac:dyDescent="0.35">
      <c r="A619" t="s">
        <v>858</v>
      </c>
      <c r="B619" t="s">
        <v>999</v>
      </c>
      <c r="C619" t="s">
        <v>1024</v>
      </c>
    </row>
    <row r="620" spans="1:3" x14ac:dyDescent="0.35">
      <c r="A620" t="s">
        <v>206</v>
      </c>
      <c r="B620" t="s">
        <v>1017</v>
      </c>
      <c r="C620" t="s">
        <v>1050</v>
      </c>
    </row>
    <row r="621" spans="1:3" x14ac:dyDescent="0.35">
      <c r="A621" t="s">
        <v>912</v>
      </c>
      <c r="B621" t="s">
        <v>994</v>
      </c>
      <c r="C621" t="s">
        <v>1157</v>
      </c>
    </row>
    <row r="622" spans="1:3" x14ac:dyDescent="0.35">
      <c r="A622" t="s">
        <v>938</v>
      </c>
      <c r="B622" t="s">
        <v>999</v>
      </c>
      <c r="C622" t="s">
        <v>1046</v>
      </c>
    </row>
    <row r="623" spans="1:3" x14ac:dyDescent="0.35">
      <c r="A623" t="s">
        <v>213</v>
      </c>
      <c r="B623" t="s">
        <v>994</v>
      </c>
      <c r="C623" t="s">
        <v>1088</v>
      </c>
    </row>
    <row r="624" spans="1:3" x14ac:dyDescent="0.35">
      <c r="A624" t="s">
        <v>726</v>
      </c>
      <c r="B624" t="s">
        <v>1017</v>
      </c>
      <c r="C624" t="s">
        <v>1031</v>
      </c>
    </row>
    <row r="625" spans="1:3" x14ac:dyDescent="0.35">
      <c r="A625" t="s">
        <v>801</v>
      </c>
      <c r="B625" t="s">
        <v>1001</v>
      </c>
      <c r="C625" t="s">
        <v>1091</v>
      </c>
    </row>
    <row r="626" spans="1:3" x14ac:dyDescent="0.35">
      <c r="A626" t="s">
        <v>129</v>
      </c>
      <c r="B626" t="s">
        <v>994</v>
      </c>
      <c r="C626" t="s">
        <v>1047</v>
      </c>
    </row>
    <row r="627" spans="1:3" x14ac:dyDescent="0.35">
      <c r="A627" t="s">
        <v>229</v>
      </c>
      <c r="B627" t="s">
        <v>994</v>
      </c>
      <c r="C627" t="s">
        <v>1096</v>
      </c>
    </row>
    <row r="628" spans="1:3" x14ac:dyDescent="0.35">
      <c r="A628" t="s">
        <v>91</v>
      </c>
      <c r="B628" t="s">
        <v>994</v>
      </c>
      <c r="C628" t="s">
        <v>1062</v>
      </c>
    </row>
    <row r="629" spans="1:3" x14ac:dyDescent="0.35">
      <c r="A629" t="s">
        <v>734</v>
      </c>
      <c r="B629" t="s">
        <v>997</v>
      </c>
      <c r="C629" t="s">
        <v>1121</v>
      </c>
    </row>
    <row r="630" spans="1:3" x14ac:dyDescent="0.35">
      <c r="A630" t="s">
        <v>191</v>
      </c>
      <c r="B630" t="s">
        <v>994</v>
      </c>
      <c r="C630" t="s">
        <v>1080</v>
      </c>
    </row>
    <row r="631" spans="1:3" x14ac:dyDescent="0.35">
      <c r="A631" t="s">
        <v>82</v>
      </c>
      <c r="B631" t="s">
        <v>999</v>
      </c>
      <c r="C631" t="s">
        <v>1009</v>
      </c>
    </row>
    <row r="632" spans="1:3" x14ac:dyDescent="0.35">
      <c r="A632" t="s">
        <v>365</v>
      </c>
      <c r="B632" t="s">
        <v>999</v>
      </c>
      <c r="C632" t="s">
        <v>1122</v>
      </c>
    </row>
    <row r="633" spans="1:3" x14ac:dyDescent="0.35">
      <c r="A633" t="s">
        <v>855</v>
      </c>
      <c r="B633" t="s">
        <v>1001</v>
      </c>
      <c r="C633" t="s">
        <v>1039</v>
      </c>
    </row>
    <row r="634" spans="1:3" x14ac:dyDescent="0.35">
      <c r="A634" t="s">
        <v>489</v>
      </c>
      <c r="B634" t="s">
        <v>999</v>
      </c>
      <c r="C634" t="s">
        <v>1130</v>
      </c>
    </row>
    <row r="635" spans="1:3" x14ac:dyDescent="0.35">
      <c r="A635" t="s">
        <v>155</v>
      </c>
      <c r="B635" t="s">
        <v>1017</v>
      </c>
      <c r="C635" t="s">
        <v>1100</v>
      </c>
    </row>
    <row r="636" spans="1:3" x14ac:dyDescent="0.35">
      <c r="A636" t="s">
        <v>940</v>
      </c>
      <c r="B636" t="s">
        <v>999</v>
      </c>
      <c r="C636" t="s">
        <v>1011</v>
      </c>
    </row>
    <row r="637" spans="1:3" x14ac:dyDescent="0.35">
      <c r="A637" t="s">
        <v>490</v>
      </c>
      <c r="B637" t="s">
        <v>997</v>
      </c>
      <c r="C637" t="s">
        <v>1165</v>
      </c>
    </row>
    <row r="638" spans="1:3" x14ac:dyDescent="0.35">
      <c r="A638" t="s">
        <v>903</v>
      </c>
      <c r="B638" t="s">
        <v>1017</v>
      </c>
      <c r="C638" t="s">
        <v>1061</v>
      </c>
    </row>
    <row r="639" spans="1:3" x14ac:dyDescent="0.35">
      <c r="A639" t="s">
        <v>347</v>
      </c>
      <c r="B639" t="s">
        <v>999</v>
      </c>
      <c r="C639" t="s">
        <v>1105</v>
      </c>
    </row>
    <row r="640" spans="1:3" x14ac:dyDescent="0.35">
      <c r="A640" t="s">
        <v>533</v>
      </c>
      <c r="B640" t="s">
        <v>999</v>
      </c>
      <c r="C640" t="s">
        <v>1173</v>
      </c>
    </row>
    <row r="641" spans="1:3" x14ac:dyDescent="0.35">
      <c r="A641" t="s">
        <v>386</v>
      </c>
      <c r="B641" t="s">
        <v>1017</v>
      </c>
      <c r="C641" t="s">
        <v>1050</v>
      </c>
    </row>
    <row r="642" spans="1:3" x14ac:dyDescent="0.35">
      <c r="A642" t="s">
        <v>890</v>
      </c>
      <c r="B642" t="s">
        <v>994</v>
      </c>
      <c r="C642" t="s">
        <v>1178</v>
      </c>
    </row>
    <row r="643" spans="1:3" x14ac:dyDescent="0.35">
      <c r="A643" t="s">
        <v>148</v>
      </c>
      <c r="B643" t="s">
        <v>999</v>
      </c>
      <c r="C643" t="s">
        <v>1097</v>
      </c>
    </row>
    <row r="644" spans="1:3" x14ac:dyDescent="0.35">
      <c r="A644" t="s">
        <v>660</v>
      </c>
      <c r="B644" t="s">
        <v>994</v>
      </c>
      <c r="C644" t="s">
        <v>1125</v>
      </c>
    </row>
    <row r="645" spans="1:3" x14ac:dyDescent="0.35">
      <c r="A645" t="s">
        <v>442</v>
      </c>
      <c r="B645" t="s">
        <v>1017</v>
      </c>
      <c r="C645" t="s">
        <v>1124</v>
      </c>
    </row>
    <row r="646" spans="1:3" x14ac:dyDescent="0.35">
      <c r="A646" t="s">
        <v>664</v>
      </c>
      <c r="B646" t="s">
        <v>997</v>
      </c>
      <c r="C646" t="s">
        <v>1126</v>
      </c>
    </row>
    <row r="647" spans="1:3" x14ac:dyDescent="0.35">
      <c r="A647" t="s">
        <v>429</v>
      </c>
      <c r="B647" t="s">
        <v>994</v>
      </c>
      <c r="C647" t="s">
        <v>1160</v>
      </c>
    </row>
    <row r="648" spans="1:3" x14ac:dyDescent="0.35">
      <c r="A648" t="s">
        <v>154</v>
      </c>
      <c r="B648" t="s">
        <v>994</v>
      </c>
      <c r="C648" t="s">
        <v>1099</v>
      </c>
    </row>
    <row r="649" spans="1:3" x14ac:dyDescent="0.35">
      <c r="A649" t="s">
        <v>851</v>
      </c>
      <c r="B649" t="s">
        <v>1001</v>
      </c>
      <c r="C649" t="s">
        <v>1118</v>
      </c>
    </row>
    <row r="650" spans="1:3" x14ac:dyDescent="0.35">
      <c r="A650" t="s">
        <v>143</v>
      </c>
      <c r="B650" t="s">
        <v>999</v>
      </c>
      <c r="C650" t="s">
        <v>1089</v>
      </c>
    </row>
    <row r="651" spans="1:3" x14ac:dyDescent="0.35">
      <c r="A651" t="s">
        <v>612</v>
      </c>
      <c r="B651" t="s">
        <v>994</v>
      </c>
      <c r="C651" t="s">
        <v>1178</v>
      </c>
    </row>
    <row r="652" spans="1:3" x14ac:dyDescent="0.35">
      <c r="A652" t="s">
        <v>563</v>
      </c>
      <c r="B652" t="s">
        <v>999</v>
      </c>
      <c r="C652" t="s">
        <v>1081</v>
      </c>
    </row>
    <row r="653" spans="1:3" x14ac:dyDescent="0.35">
      <c r="A653" t="s">
        <v>192</v>
      </c>
      <c r="B653" t="s">
        <v>999</v>
      </c>
      <c r="C653" t="s">
        <v>1116</v>
      </c>
    </row>
    <row r="654" spans="1:3" x14ac:dyDescent="0.35">
      <c r="A654" t="s">
        <v>140</v>
      </c>
      <c r="B654" t="s">
        <v>999</v>
      </c>
      <c r="C654" t="s">
        <v>1092</v>
      </c>
    </row>
    <row r="655" spans="1:3" x14ac:dyDescent="0.35">
      <c r="A655" t="s">
        <v>631</v>
      </c>
      <c r="B655" t="s">
        <v>999</v>
      </c>
      <c r="C655" t="s">
        <v>1146</v>
      </c>
    </row>
    <row r="656" spans="1:3" x14ac:dyDescent="0.35">
      <c r="A656" t="s">
        <v>195</v>
      </c>
      <c r="B656" t="s">
        <v>999</v>
      </c>
      <c r="C656" t="s">
        <v>1054</v>
      </c>
    </row>
    <row r="657" spans="1:3" x14ac:dyDescent="0.35">
      <c r="A657" t="s">
        <v>605</v>
      </c>
      <c r="B657" t="s">
        <v>994</v>
      </c>
      <c r="C657" t="s">
        <v>1120</v>
      </c>
    </row>
    <row r="658" spans="1:3" x14ac:dyDescent="0.35">
      <c r="A658" t="s">
        <v>588</v>
      </c>
      <c r="B658" t="s">
        <v>994</v>
      </c>
      <c r="C658" t="s">
        <v>1058</v>
      </c>
    </row>
    <row r="659" spans="1:3" x14ac:dyDescent="0.35">
      <c r="A659" t="s">
        <v>453</v>
      </c>
      <c r="B659" t="s">
        <v>1001</v>
      </c>
      <c r="C659" t="s">
        <v>1158</v>
      </c>
    </row>
    <row r="660" spans="1:3" x14ac:dyDescent="0.35">
      <c r="A660" t="s">
        <v>894</v>
      </c>
      <c r="B660" t="s">
        <v>999</v>
      </c>
      <c r="C660" t="s">
        <v>1046</v>
      </c>
    </row>
    <row r="661" spans="1:3" x14ac:dyDescent="0.35">
      <c r="A661" t="s">
        <v>725</v>
      </c>
      <c r="B661" t="s">
        <v>997</v>
      </c>
      <c r="C661" t="s">
        <v>1071</v>
      </c>
    </row>
    <row r="662" spans="1:3" x14ac:dyDescent="0.35">
      <c r="A662" t="s">
        <v>470</v>
      </c>
      <c r="B662" t="s">
        <v>1017</v>
      </c>
      <c r="C662" t="s">
        <v>1061</v>
      </c>
    </row>
    <row r="663" spans="1:3" x14ac:dyDescent="0.35">
      <c r="A663" t="s">
        <v>323</v>
      </c>
      <c r="B663" t="s">
        <v>999</v>
      </c>
      <c r="C663" t="s">
        <v>1112</v>
      </c>
    </row>
    <row r="664" spans="1:3" x14ac:dyDescent="0.35">
      <c r="A664" t="s">
        <v>761</v>
      </c>
      <c r="B664" t="s">
        <v>999</v>
      </c>
      <c r="C664" t="s">
        <v>1011</v>
      </c>
    </row>
    <row r="665" spans="1:3" x14ac:dyDescent="0.35">
      <c r="A665" t="s">
        <v>899</v>
      </c>
      <c r="B665" t="s">
        <v>1001</v>
      </c>
      <c r="C665" t="s">
        <v>1159</v>
      </c>
    </row>
    <row r="666" spans="1:3" x14ac:dyDescent="0.35">
      <c r="A666" t="s">
        <v>849</v>
      </c>
      <c r="B666" t="s">
        <v>994</v>
      </c>
      <c r="C666" t="s">
        <v>1029</v>
      </c>
    </row>
    <row r="667" spans="1:3" x14ac:dyDescent="0.35">
      <c r="A667" t="s">
        <v>755</v>
      </c>
      <c r="B667" t="s">
        <v>999</v>
      </c>
      <c r="C667" t="s">
        <v>1073</v>
      </c>
    </row>
    <row r="668" spans="1:3" x14ac:dyDescent="0.35">
      <c r="A668" t="s">
        <v>640</v>
      </c>
      <c r="B668" t="s">
        <v>1001</v>
      </c>
      <c r="C668" t="s">
        <v>1156</v>
      </c>
    </row>
    <row r="669" spans="1:3" x14ac:dyDescent="0.35">
      <c r="A669" t="s">
        <v>31</v>
      </c>
      <c r="B669" t="s">
        <v>997</v>
      </c>
      <c r="C669" t="s">
        <v>1014</v>
      </c>
    </row>
    <row r="670" spans="1:3" x14ac:dyDescent="0.35">
      <c r="A670" t="s">
        <v>62</v>
      </c>
      <c r="B670" t="s">
        <v>999</v>
      </c>
      <c r="C670" t="s">
        <v>1041</v>
      </c>
    </row>
    <row r="671" spans="1:3" x14ac:dyDescent="0.35">
      <c r="A671" t="s">
        <v>602</v>
      </c>
      <c r="B671" t="s">
        <v>999</v>
      </c>
      <c r="C671" t="s">
        <v>1147</v>
      </c>
    </row>
    <row r="672" spans="1:3" x14ac:dyDescent="0.35">
      <c r="A672" t="s">
        <v>792</v>
      </c>
      <c r="B672" t="s">
        <v>999</v>
      </c>
      <c r="C672" t="s">
        <v>1089</v>
      </c>
    </row>
    <row r="673" spans="1:3" x14ac:dyDescent="0.35">
      <c r="A673" t="s">
        <v>712</v>
      </c>
      <c r="B673" t="s">
        <v>994</v>
      </c>
      <c r="C673" t="s">
        <v>1166</v>
      </c>
    </row>
    <row r="674" spans="1:3" x14ac:dyDescent="0.35">
      <c r="A674" t="s">
        <v>923</v>
      </c>
      <c r="B674" t="s">
        <v>1017</v>
      </c>
      <c r="C674" t="s">
        <v>1031</v>
      </c>
    </row>
    <row r="675" spans="1:3" x14ac:dyDescent="0.35">
      <c r="A675" t="s">
        <v>187</v>
      </c>
      <c r="B675" t="s">
        <v>994</v>
      </c>
      <c r="C675" t="s">
        <v>1077</v>
      </c>
    </row>
    <row r="676" spans="1:3" x14ac:dyDescent="0.35">
      <c r="A676" t="s">
        <v>101</v>
      </c>
      <c r="B676" t="s">
        <v>999</v>
      </c>
      <c r="C676" t="s">
        <v>1068</v>
      </c>
    </row>
    <row r="677" spans="1:3" x14ac:dyDescent="0.35">
      <c r="A677" t="s">
        <v>884</v>
      </c>
      <c r="B677" t="s">
        <v>994</v>
      </c>
      <c r="C677" t="s">
        <v>1062</v>
      </c>
    </row>
    <row r="678" spans="1:3" x14ac:dyDescent="0.35">
      <c r="A678" t="s">
        <v>318</v>
      </c>
      <c r="B678" t="s">
        <v>1017</v>
      </c>
      <c r="C678" t="s">
        <v>1124</v>
      </c>
    </row>
    <row r="679" spans="1:3" x14ac:dyDescent="0.35">
      <c r="A679" t="s">
        <v>780</v>
      </c>
      <c r="B679" t="s">
        <v>994</v>
      </c>
      <c r="C679" t="s">
        <v>1113</v>
      </c>
    </row>
    <row r="680" spans="1:3" x14ac:dyDescent="0.35">
      <c r="A680" t="s">
        <v>169</v>
      </c>
      <c r="B680" t="s">
        <v>997</v>
      </c>
      <c r="C680" t="s">
        <v>1038</v>
      </c>
    </row>
    <row r="681" spans="1:3" x14ac:dyDescent="0.35">
      <c r="A681" t="s">
        <v>157</v>
      </c>
      <c r="B681" t="s">
        <v>994</v>
      </c>
      <c r="C681" t="s">
        <v>995</v>
      </c>
    </row>
    <row r="682" spans="1:3" x14ac:dyDescent="0.35">
      <c r="A682" t="s">
        <v>645</v>
      </c>
      <c r="B682" t="s">
        <v>999</v>
      </c>
      <c r="C682" t="s">
        <v>1092</v>
      </c>
    </row>
    <row r="683" spans="1:3" x14ac:dyDescent="0.35">
      <c r="A683" t="s">
        <v>504</v>
      </c>
      <c r="B683" t="s">
        <v>994</v>
      </c>
      <c r="C683" t="s">
        <v>1133</v>
      </c>
    </row>
    <row r="684" spans="1:3" x14ac:dyDescent="0.35">
      <c r="A684" t="s">
        <v>322</v>
      </c>
      <c r="B684" t="s">
        <v>997</v>
      </c>
      <c r="C684" t="s">
        <v>998</v>
      </c>
    </row>
    <row r="685" spans="1:3" x14ac:dyDescent="0.35">
      <c r="A685" t="s">
        <v>208</v>
      </c>
      <c r="B685" t="s">
        <v>997</v>
      </c>
      <c r="C685" t="s">
        <v>1121</v>
      </c>
    </row>
    <row r="686" spans="1:3" x14ac:dyDescent="0.35">
      <c r="A686" t="s">
        <v>134</v>
      </c>
      <c r="B686" t="s">
        <v>999</v>
      </c>
      <c r="C686" t="s">
        <v>1087</v>
      </c>
    </row>
    <row r="687" spans="1:3" x14ac:dyDescent="0.35">
      <c r="A687" t="s">
        <v>954</v>
      </c>
      <c r="B687" t="s">
        <v>994</v>
      </c>
      <c r="C687" t="s">
        <v>1064</v>
      </c>
    </row>
    <row r="688" spans="1:3" x14ac:dyDescent="0.35">
      <c r="A688" t="s">
        <v>133</v>
      </c>
      <c r="B688" t="s">
        <v>999</v>
      </c>
      <c r="C688" t="s">
        <v>1012</v>
      </c>
    </row>
    <row r="689" spans="1:3" x14ac:dyDescent="0.35">
      <c r="A689" t="s">
        <v>99</v>
      </c>
      <c r="B689" t="s">
        <v>999</v>
      </c>
      <c r="C689" t="s">
        <v>1067</v>
      </c>
    </row>
    <row r="690" spans="1:3" x14ac:dyDescent="0.35">
      <c r="A690" t="s">
        <v>43</v>
      </c>
      <c r="B690" t="s">
        <v>994</v>
      </c>
      <c r="C690" t="s">
        <v>1026</v>
      </c>
    </row>
    <row r="691" spans="1:3" x14ac:dyDescent="0.35">
      <c r="A691" t="s">
        <v>278</v>
      </c>
      <c r="B691" t="s">
        <v>994</v>
      </c>
      <c r="C691" t="s">
        <v>1049</v>
      </c>
    </row>
    <row r="692" spans="1:3" x14ac:dyDescent="0.35">
      <c r="A692" t="s">
        <v>407</v>
      </c>
      <c r="B692" t="s">
        <v>1017</v>
      </c>
      <c r="C692" t="s">
        <v>1033</v>
      </c>
    </row>
    <row r="693" spans="1:3" x14ac:dyDescent="0.35">
      <c r="A693" t="s">
        <v>696</v>
      </c>
      <c r="B693" t="s">
        <v>1017</v>
      </c>
      <c r="C693" t="s">
        <v>1019</v>
      </c>
    </row>
    <row r="694" spans="1:3" x14ac:dyDescent="0.35">
      <c r="A694" t="s">
        <v>861</v>
      </c>
      <c r="B694" t="s">
        <v>994</v>
      </c>
      <c r="C694" t="s">
        <v>1099</v>
      </c>
    </row>
    <row r="695" spans="1:3" x14ac:dyDescent="0.35">
      <c r="A695" t="s">
        <v>515</v>
      </c>
      <c r="B695" t="s">
        <v>1017</v>
      </c>
      <c r="C695" t="s">
        <v>1033</v>
      </c>
    </row>
    <row r="696" spans="1:3" x14ac:dyDescent="0.35">
      <c r="A696" t="s">
        <v>455</v>
      </c>
      <c r="B696" t="s">
        <v>999</v>
      </c>
      <c r="C696" t="s">
        <v>1010</v>
      </c>
    </row>
    <row r="697" spans="1:3" x14ac:dyDescent="0.35">
      <c r="A697" t="s">
        <v>60</v>
      </c>
      <c r="B697" t="s">
        <v>997</v>
      </c>
      <c r="C697" t="s">
        <v>1027</v>
      </c>
    </row>
    <row r="698" spans="1:3" x14ac:dyDescent="0.35">
      <c r="A698" t="s">
        <v>873</v>
      </c>
      <c r="B698" t="s">
        <v>999</v>
      </c>
      <c r="C698" t="s">
        <v>1092</v>
      </c>
    </row>
    <row r="699" spans="1:3" x14ac:dyDescent="0.35">
      <c r="A699" t="s">
        <v>340</v>
      </c>
      <c r="B699" t="s">
        <v>1017</v>
      </c>
      <c r="C699" t="s">
        <v>1075</v>
      </c>
    </row>
    <row r="700" spans="1:3" x14ac:dyDescent="0.35">
      <c r="A700" t="s">
        <v>15</v>
      </c>
      <c r="B700" t="s">
        <v>997</v>
      </c>
      <c r="C700" t="s">
        <v>998</v>
      </c>
    </row>
    <row r="701" spans="1:3" x14ac:dyDescent="0.35">
      <c r="A701" t="s">
        <v>706</v>
      </c>
      <c r="B701" t="s">
        <v>994</v>
      </c>
      <c r="C701" t="s">
        <v>1074</v>
      </c>
    </row>
    <row r="702" spans="1:3" x14ac:dyDescent="0.35">
      <c r="A702" t="s">
        <v>745</v>
      </c>
      <c r="B702" t="s">
        <v>999</v>
      </c>
      <c r="C702" t="s">
        <v>1136</v>
      </c>
    </row>
    <row r="703" spans="1:3" x14ac:dyDescent="0.35">
      <c r="A703" t="s">
        <v>662</v>
      </c>
      <c r="B703" t="s">
        <v>994</v>
      </c>
      <c r="C703" t="s">
        <v>1099</v>
      </c>
    </row>
    <row r="704" spans="1:3" x14ac:dyDescent="0.35">
      <c r="A704" t="s">
        <v>421</v>
      </c>
      <c r="B704" t="s">
        <v>994</v>
      </c>
      <c r="C704" t="s">
        <v>1077</v>
      </c>
    </row>
    <row r="705" spans="1:3" x14ac:dyDescent="0.35">
      <c r="A705" t="s">
        <v>698</v>
      </c>
      <c r="B705" t="s">
        <v>999</v>
      </c>
      <c r="C705" t="s">
        <v>1102</v>
      </c>
    </row>
    <row r="706" spans="1:3" x14ac:dyDescent="0.35">
      <c r="A706" t="s">
        <v>886</v>
      </c>
      <c r="B706" t="s">
        <v>1007</v>
      </c>
      <c r="C706" t="s">
        <v>1103</v>
      </c>
    </row>
    <row r="707" spans="1:3" x14ac:dyDescent="0.35">
      <c r="A707" t="s">
        <v>568</v>
      </c>
      <c r="B707" t="s">
        <v>1017</v>
      </c>
      <c r="C707" t="s">
        <v>1140</v>
      </c>
    </row>
    <row r="708" spans="1:3" x14ac:dyDescent="0.35">
      <c r="A708" t="s">
        <v>474</v>
      </c>
      <c r="B708" t="s">
        <v>999</v>
      </c>
      <c r="C708" t="s">
        <v>1044</v>
      </c>
    </row>
    <row r="709" spans="1:3" x14ac:dyDescent="0.35">
      <c r="A709" t="s">
        <v>305</v>
      </c>
      <c r="B709" t="s">
        <v>994</v>
      </c>
      <c r="C709" t="s">
        <v>1129</v>
      </c>
    </row>
    <row r="710" spans="1:3" x14ac:dyDescent="0.35">
      <c r="A710" t="s">
        <v>767</v>
      </c>
      <c r="B710" t="s">
        <v>1001</v>
      </c>
      <c r="C710" t="s">
        <v>1070</v>
      </c>
    </row>
    <row r="711" spans="1:3" x14ac:dyDescent="0.35">
      <c r="A711" t="s">
        <v>444</v>
      </c>
      <c r="B711" t="s">
        <v>999</v>
      </c>
      <c r="C711" t="s">
        <v>1150</v>
      </c>
    </row>
    <row r="712" spans="1:3" x14ac:dyDescent="0.35">
      <c r="A712" t="s">
        <v>931</v>
      </c>
      <c r="B712" t="s">
        <v>999</v>
      </c>
      <c r="C712" t="s">
        <v>1020</v>
      </c>
    </row>
    <row r="713" spans="1:3" x14ac:dyDescent="0.35">
      <c r="A713" t="s">
        <v>68</v>
      </c>
      <c r="B713" t="s">
        <v>1001</v>
      </c>
      <c r="C713" t="s">
        <v>1045</v>
      </c>
    </row>
    <row r="714" spans="1:3" x14ac:dyDescent="0.35">
      <c r="A714" t="s">
        <v>774</v>
      </c>
      <c r="B714" t="s">
        <v>997</v>
      </c>
      <c r="C714" t="s">
        <v>1006</v>
      </c>
    </row>
    <row r="715" spans="1:3" x14ac:dyDescent="0.35">
      <c r="A715" t="s">
        <v>177</v>
      </c>
      <c r="B715" t="s">
        <v>999</v>
      </c>
      <c r="C715" t="s">
        <v>1087</v>
      </c>
    </row>
    <row r="716" spans="1:3" x14ac:dyDescent="0.35">
      <c r="A716" t="s">
        <v>732</v>
      </c>
      <c r="B716" t="s">
        <v>1017</v>
      </c>
      <c r="C716" t="s">
        <v>1050</v>
      </c>
    </row>
    <row r="717" spans="1:3" x14ac:dyDescent="0.35">
      <c r="A717" t="s">
        <v>799</v>
      </c>
      <c r="B717" t="s">
        <v>999</v>
      </c>
      <c r="C717" t="s">
        <v>1057</v>
      </c>
    </row>
    <row r="718" spans="1:3" x14ac:dyDescent="0.35">
      <c r="A718" t="s">
        <v>730</v>
      </c>
      <c r="B718" t="s">
        <v>1001</v>
      </c>
      <c r="C718" t="s">
        <v>1055</v>
      </c>
    </row>
    <row r="719" spans="1:3" x14ac:dyDescent="0.35">
      <c r="A719" t="s">
        <v>263</v>
      </c>
      <c r="B719" t="s">
        <v>999</v>
      </c>
      <c r="C719" t="s">
        <v>1097</v>
      </c>
    </row>
    <row r="720" spans="1:3" x14ac:dyDescent="0.35">
      <c r="A720" t="s">
        <v>910</v>
      </c>
      <c r="B720" t="s">
        <v>999</v>
      </c>
      <c r="C720" t="s">
        <v>1105</v>
      </c>
    </row>
    <row r="721" spans="1:3" x14ac:dyDescent="0.35">
      <c r="A721" t="s">
        <v>527</v>
      </c>
      <c r="B721" t="s">
        <v>1017</v>
      </c>
      <c r="C721" t="s">
        <v>1142</v>
      </c>
    </row>
    <row r="722" spans="1:3" x14ac:dyDescent="0.35">
      <c r="A722" t="s">
        <v>420</v>
      </c>
      <c r="B722" t="s">
        <v>999</v>
      </c>
      <c r="C722" t="s">
        <v>1035</v>
      </c>
    </row>
    <row r="723" spans="1:3" x14ac:dyDescent="0.35">
      <c r="A723" t="s">
        <v>930</v>
      </c>
      <c r="B723" t="s">
        <v>1001</v>
      </c>
      <c r="C723" t="s">
        <v>1082</v>
      </c>
    </row>
    <row r="724" spans="1:3" x14ac:dyDescent="0.35">
      <c r="A724" t="s">
        <v>374</v>
      </c>
      <c r="B724" t="s">
        <v>997</v>
      </c>
      <c r="C724" t="s">
        <v>1042</v>
      </c>
    </row>
    <row r="725" spans="1:3" x14ac:dyDescent="0.35">
      <c r="A725" t="s">
        <v>376</v>
      </c>
      <c r="B725" t="s">
        <v>999</v>
      </c>
      <c r="C725" t="s">
        <v>1030</v>
      </c>
    </row>
    <row r="726" spans="1:3" x14ac:dyDescent="0.35">
      <c r="A726" t="s">
        <v>953</v>
      </c>
      <c r="B726" t="s">
        <v>994</v>
      </c>
      <c r="C726" t="s">
        <v>1058</v>
      </c>
    </row>
    <row r="727" spans="1:3" x14ac:dyDescent="0.35">
      <c r="A727" t="s">
        <v>795</v>
      </c>
      <c r="B727" t="s">
        <v>1017</v>
      </c>
      <c r="C727" t="s">
        <v>1059</v>
      </c>
    </row>
    <row r="728" spans="1:3" x14ac:dyDescent="0.35">
      <c r="A728" t="s">
        <v>508</v>
      </c>
      <c r="B728" t="s">
        <v>1017</v>
      </c>
      <c r="C728" t="s">
        <v>1059</v>
      </c>
    </row>
    <row r="729" spans="1:3" x14ac:dyDescent="0.35">
      <c r="A729" t="s">
        <v>74</v>
      </c>
      <c r="B729" t="s">
        <v>1017</v>
      </c>
      <c r="C729" t="s">
        <v>1050</v>
      </c>
    </row>
    <row r="730" spans="1:3" x14ac:dyDescent="0.35">
      <c r="A730" t="s">
        <v>391</v>
      </c>
      <c r="B730" t="s">
        <v>999</v>
      </c>
      <c r="C730" t="s">
        <v>1138</v>
      </c>
    </row>
    <row r="731" spans="1:3" x14ac:dyDescent="0.35">
      <c r="A731" t="s">
        <v>552</v>
      </c>
      <c r="B731" t="s">
        <v>997</v>
      </c>
      <c r="C731" t="s">
        <v>1139</v>
      </c>
    </row>
    <row r="732" spans="1:3" x14ac:dyDescent="0.35">
      <c r="A732" t="s">
        <v>669</v>
      </c>
      <c r="B732" t="s">
        <v>994</v>
      </c>
      <c r="C732" t="s">
        <v>1166</v>
      </c>
    </row>
    <row r="733" spans="1:3" x14ac:dyDescent="0.35">
      <c r="A733" t="s">
        <v>638</v>
      </c>
      <c r="B733" t="s">
        <v>999</v>
      </c>
      <c r="C733" t="s">
        <v>1132</v>
      </c>
    </row>
    <row r="734" spans="1:3" x14ac:dyDescent="0.35">
      <c r="A734" t="s">
        <v>485</v>
      </c>
      <c r="B734" t="s">
        <v>994</v>
      </c>
      <c r="C734" t="s">
        <v>1062</v>
      </c>
    </row>
    <row r="735" spans="1:3" x14ac:dyDescent="0.35">
      <c r="A735" t="s">
        <v>220</v>
      </c>
      <c r="B735" t="s">
        <v>999</v>
      </c>
      <c r="C735" t="s">
        <v>1089</v>
      </c>
    </row>
    <row r="736" spans="1:3" x14ac:dyDescent="0.35">
      <c r="A736" t="s">
        <v>198</v>
      </c>
      <c r="B736" t="s">
        <v>1001</v>
      </c>
      <c r="C736" t="s">
        <v>1118</v>
      </c>
    </row>
    <row r="737" spans="1:3" x14ac:dyDescent="0.35">
      <c r="A737" t="s">
        <v>933</v>
      </c>
      <c r="B737" t="s">
        <v>994</v>
      </c>
      <c r="C737" t="s">
        <v>1113</v>
      </c>
    </row>
    <row r="738" spans="1:3" x14ac:dyDescent="0.35">
      <c r="A738" t="s">
        <v>793</v>
      </c>
      <c r="B738" t="s">
        <v>999</v>
      </c>
      <c r="C738" t="s">
        <v>1089</v>
      </c>
    </row>
    <row r="739" spans="1:3" x14ac:dyDescent="0.35">
      <c r="A739" t="s">
        <v>601</v>
      </c>
      <c r="B739" t="s">
        <v>1017</v>
      </c>
      <c r="C739" t="s">
        <v>1075</v>
      </c>
    </row>
    <row r="740" spans="1:3" x14ac:dyDescent="0.35">
      <c r="A740" t="s">
        <v>351</v>
      </c>
      <c r="B740" t="s">
        <v>1017</v>
      </c>
      <c r="C740" t="s">
        <v>1085</v>
      </c>
    </row>
    <row r="741" spans="1:3" x14ac:dyDescent="0.35">
      <c r="A741" t="s">
        <v>419</v>
      </c>
      <c r="B741" t="s">
        <v>994</v>
      </c>
      <c r="C741" t="s">
        <v>1064</v>
      </c>
    </row>
    <row r="742" spans="1:3" x14ac:dyDescent="0.35">
      <c r="A742" t="s">
        <v>583</v>
      </c>
      <c r="B742" t="s">
        <v>997</v>
      </c>
      <c r="C742" t="s">
        <v>1139</v>
      </c>
    </row>
    <row r="743" spans="1:3" x14ac:dyDescent="0.35">
      <c r="A743" t="s">
        <v>381</v>
      </c>
      <c r="B743" t="s">
        <v>1007</v>
      </c>
      <c r="C743" t="s">
        <v>1008</v>
      </c>
    </row>
    <row r="744" spans="1:3" x14ac:dyDescent="0.35">
      <c r="A744" t="s">
        <v>781</v>
      </c>
      <c r="B744" t="s">
        <v>994</v>
      </c>
      <c r="C744" t="s">
        <v>1166</v>
      </c>
    </row>
    <row r="745" spans="1:3" x14ac:dyDescent="0.35">
      <c r="A745" t="s">
        <v>360</v>
      </c>
      <c r="B745" t="s">
        <v>999</v>
      </c>
      <c r="C745" t="s">
        <v>1107</v>
      </c>
    </row>
    <row r="746" spans="1:3" x14ac:dyDescent="0.35">
      <c r="A746" t="s">
        <v>880</v>
      </c>
      <c r="B746" t="s">
        <v>999</v>
      </c>
      <c r="C746" t="s">
        <v>1079</v>
      </c>
    </row>
    <row r="747" spans="1:3" x14ac:dyDescent="0.35">
      <c r="A747" t="s">
        <v>510</v>
      </c>
      <c r="B747" t="s">
        <v>997</v>
      </c>
      <c r="C747" t="s">
        <v>1071</v>
      </c>
    </row>
    <row r="748" spans="1:3" x14ac:dyDescent="0.35">
      <c r="A748" t="s">
        <v>53</v>
      </c>
      <c r="B748" t="s">
        <v>1017</v>
      </c>
      <c r="C748" t="s">
        <v>1034</v>
      </c>
    </row>
    <row r="749" spans="1:3" x14ac:dyDescent="0.35">
      <c r="A749" t="s">
        <v>520</v>
      </c>
      <c r="B749" t="s">
        <v>994</v>
      </c>
      <c r="C749" t="s">
        <v>1171</v>
      </c>
    </row>
    <row r="750" spans="1:3" x14ac:dyDescent="0.35">
      <c r="A750" t="s">
        <v>151</v>
      </c>
      <c r="B750" t="s">
        <v>1017</v>
      </c>
      <c r="C750" t="s">
        <v>1018</v>
      </c>
    </row>
    <row r="751" spans="1:3" x14ac:dyDescent="0.35">
      <c r="A751" t="s">
        <v>913</v>
      </c>
      <c r="B751" t="s">
        <v>999</v>
      </c>
      <c r="C751" t="s">
        <v>1000</v>
      </c>
    </row>
    <row r="752" spans="1:3" x14ac:dyDescent="0.35">
      <c r="A752" t="s">
        <v>24</v>
      </c>
      <c r="B752" t="s">
        <v>997</v>
      </c>
      <c r="C752" t="s">
        <v>1006</v>
      </c>
    </row>
    <row r="753" spans="1:3" x14ac:dyDescent="0.35">
      <c r="A753" t="s">
        <v>227</v>
      </c>
      <c r="B753" t="s">
        <v>1007</v>
      </c>
      <c r="C753" t="s">
        <v>1008</v>
      </c>
    </row>
    <row r="754" spans="1:3" x14ac:dyDescent="0.35">
      <c r="A754" t="s">
        <v>122</v>
      </c>
      <c r="B754" t="s">
        <v>999</v>
      </c>
      <c r="C754" t="s">
        <v>1081</v>
      </c>
    </row>
    <row r="755" spans="1:3" x14ac:dyDescent="0.35">
      <c r="A755" t="s">
        <v>283</v>
      </c>
      <c r="B755" t="s">
        <v>999</v>
      </c>
      <c r="C755" t="s">
        <v>1092</v>
      </c>
    </row>
    <row r="756" spans="1:3" x14ac:dyDescent="0.35">
      <c r="A756" t="s">
        <v>896</v>
      </c>
      <c r="B756" t="s">
        <v>997</v>
      </c>
      <c r="C756" t="s">
        <v>1093</v>
      </c>
    </row>
    <row r="757" spans="1:3" x14ac:dyDescent="0.35">
      <c r="A757" t="s">
        <v>35</v>
      </c>
      <c r="B757" t="s">
        <v>1017</v>
      </c>
      <c r="C757" t="s">
        <v>1019</v>
      </c>
    </row>
    <row r="758" spans="1:3" x14ac:dyDescent="0.35">
      <c r="A758" t="s">
        <v>457</v>
      </c>
      <c r="B758" t="s">
        <v>999</v>
      </c>
      <c r="C758" t="s">
        <v>1068</v>
      </c>
    </row>
    <row r="759" spans="1:3" x14ac:dyDescent="0.35">
      <c r="A759" t="s">
        <v>739</v>
      </c>
      <c r="B759" t="s">
        <v>999</v>
      </c>
      <c r="C759" t="s">
        <v>1136</v>
      </c>
    </row>
    <row r="760" spans="1:3" x14ac:dyDescent="0.35">
      <c r="A760" t="s">
        <v>832</v>
      </c>
      <c r="B760" t="s">
        <v>999</v>
      </c>
      <c r="C760" t="s">
        <v>1136</v>
      </c>
    </row>
    <row r="761" spans="1:3" x14ac:dyDescent="0.35">
      <c r="A761" t="s">
        <v>363</v>
      </c>
      <c r="B761" t="s">
        <v>999</v>
      </c>
      <c r="C761" t="s">
        <v>1079</v>
      </c>
    </row>
    <row r="762" spans="1:3" x14ac:dyDescent="0.35">
      <c r="A762" t="s">
        <v>539</v>
      </c>
      <c r="B762" t="s">
        <v>999</v>
      </c>
      <c r="C762" t="s">
        <v>1101</v>
      </c>
    </row>
    <row r="763" spans="1:3" x14ac:dyDescent="0.35">
      <c r="A763" t="s">
        <v>650</v>
      </c>
      <c r="B763" t="s">
        <v>999</v>
      </c>
      <c r="C763" t="s">
        <v>1035</v>
      </c>
    </row>
    <row r="764" spans="1:3" x14ac:dyDescent="0.35">
      <c r="A764" t="s">
        <v>173</v>
      </c>
      <c r="B764" t="s">
        <v>999</v>
      </c>
      <c r="C764" t="s">
        <v>1081</v>
      </c>
    </row>
    <row r="765" spans="1:3" x14ac:dyDescent="0.35">
      <c r="A765" t="s">
        <v>104</v>
      </c>
      <c r="B765" t="s">
        <v>1001</v>
      </c>
      <c r="C765" t="s">
        <v>1070</v>
      </c>
    </row>
    <row r="766" spans="1:3" x14ac:dyDescent="0.35">
      <c r="A766" t="s">
        <v>44</v>
      </c>
      <c r="B766" t="s">
        <v>999</v>
      </c>
      <c r="C766" t="s">
        <v>1011</v>
      </c>
    </row>
    <row r="767" spans="1:3" x14ac:dyDescent="0.35">
      <c r="A767" t="s">
        <v>297</v>
      </c>
      <c r="B767" t="s">
        <v>999</v>
      </c>
      <c r="C767" t="s">
        <v>1041</v>
      </c>
    </row>
    <row r="768" spans="1:3" x14ac:dyDescent="0.35">
      <c r="A768" t="s">
        <v>643</v>
      </c>
      <c r="B768" t="s">
        <v>999</v>
      </c>
      <c r="C768" t="s">
        <v>1092</v>
      </c>
    </row>
    <row r="769" spans="1:3" x14ac:dyDescent="0.35">
      <c r="A769" t="s">
        <v>403</v>
      </c>
      <c r="B769" t="s">
        <v>999</v>
      </c>
      <c r="C769" t="s">
        <v>1000</v>
      </c>
    </row>
    <row r="770" spans="1:3" x14ac:dyDescent="0.35">
      <c r="A770" t="s">
        <v>269</v>
      </c>
      <c r="B770" t="s">
        <v>1017</v>
      </c>
      <c r="C770" t="s">
        <v>1142</v>
      </c>
    </row>
    <row r="771" spans="1:3" x14ac:dyDescent="0.35">
      <c r="A771" t="s">
        <v>137</v>
      </c>
      <c r="B771" t="s">
        <v>999</v>
      </c>
      <c r="C771" t="s">
        <v>1044</v>
      </c>
    </row>
    <row r="772" spans="1:3" x14ac:dyDescent="0.35">
      <c r="A772" t="s">
        <v>449</v>
      </c>
      <c r="B772" t="s">
        <v>994</v>
      </c>
      <c r="C772" t="s">
        <v>1072</v>
      </c>
    </row>
    <row r="773" spans="1:3" x14ac:dyDescent="0.35">
      <c r="A773" t="s">
        <v>456</v>
      </c>
      <c r="B773" t="s">
        <v>999</v>
      </c>
      <c r="C773" t="s">
        <v>1068</v>
      </c>
    </row>
    <row r="774" spans="1:3" x14ac:dyDescent="0.35">
      <c r="A774" t="s">
        <v>753</v>
      </c>
      <c r="B774" t="s">
        <v>999</v>
      </c>
      <c r="C774" t="s">
        <v>1101</v>
      </c>
    </row>
    <row r="775" spans="1:3" x14ac:dyDescent="0.35">
      <c r="A775" t="s">
        <v>701</v>
      </c>
      <c r="B775" t="s">
        <v>994</v>
      </c>
      <c r="C775" t="s">
        <v>1088</v>
      </c>
    </row>
    <row r="776" spans="1:3" x14ac:dyDescent="0.35">
      <c r="A776" t="s">
        <v>462</v>
      </c>
      <c r="B776" t="s">
        <v>997</v>
      </c>
      <c r="C776" t="s">
        <v>1004</v>
      </c>
    </row>
    <row r="777" spans="1:3" x14ac:dyDescent="0.35">
      <c r="A777" t="s">
        <v>23</v>
      </c>
      <c r="B777" t="s">
        <v>1001</v>
      </c>
      <c r="C777" t="s">
        <v>1003</v>
      </c>
    </row>
    <row r="778" spans="1:3" x14ac:dyDescent="0.35">
      <c r="A778" t="s">
        <v>560</v>
      </c>
      <c r="B778" t="s">
        <v>997</v>
      </c>
      <c r="C778" t="s">
        <v>1115</v>
      </c>
    </row>
    <row r="779" spans="1:3" x14ac:dyDescent="0.35">
      <c r="A779" t="s">
        <v>292</v>
      </c>
      <c r="B779" t="s">
        <v>997</v>
      </c>
      <c r="C779" t="s">
        <v>1071</v>
      </c>
    </row>
    <row r="780" spans="1:3" x14ac:dyDescent="0.35">
      <c r="A780" t="s">
        <v>171</v>
      </c>
      <c r="B780" t="s">
        <v>999</v>
      </c>
      <c r="C780" t="s">
        <v>1106</v>
      </c>
    </row>
    <row r="781" spans="1:3" x14ac:dyDescent="0.35">
      <c r="A781" t="s">
        <v>752</v>
      </c>
      <c r="B781" t="s">
        <v>1017</v>
      </c>
      <c r="C781" t="s">
        <v>1060</v>
      </c>
    </row>
    <row r="782" spans="1:3" x14ac:dyDescent="0.35">
      <c r="A782" t="s">
        <v>771</v>
      </c>
      <c r="B782" t="s">
        <v>1001</v>
      </c>
      <c r="C782" t="s">
        <v>1156</v>
      </c>
    </row>
    <row r="783" spans="1:3" x14ac:dyDescent="0.35">
      <c r="A783" t="s">
        <v>97</v>
      </c>
      <c r="B783" t="s">
        <v>994</v>
      </c>
      <c r="C783" t="s">
        <v>996</v>
      </c>
    </row>
    <row r="784" spans="1:3" x14ac:dyDescent="0.35">
      <c r="A784" t="s">
        <v>823</v>
      </c>
      <c r="B784" t="s">
        <v>994</v>
      </c>
      <c r="C784" t="s">
        <v>1164</v>
      </c>
    </row>
    <row r="785" spans="1:3" x14ac:dyDescent="0.35">
      <c r="A785" t="s">
        <v>144</v>
      </c>
      <c r="B785" t="s">
        <v>1017</v>
      </c>
      <c r="C785" t="s">
        <v>1094</v>
      </c>
    </row>
    <row r="786" spans="1:3" x14ac:dyDescent="0.35">
      <c r="A786" t="s">
        <v>599</v>
      </c>
      <c r="B786" t="s">
        <v>1017</v>
      </c>
      <c r="C786" t="s">
        <v>1142</v>
      </c>
    </row>
    <row r="787" spans="1:3" x14ac:dyDescent="0.35">
      <c r="A787" t="s">
        <v>219</v>
      </c>
      <c r="B787" t="s">
        <v>994</v>
      </c>
      <c r="C787" t="s">
        <v>1120</v>
      </c>
    </row>
    <row r="788" spans="1:3" x14ac:dyDescent="0.35">
      <c r="A788" t="s">
        <v>405</v>
      </c>
      <c r="B788" t="s">
        <v>997</v>
      </c>
      <c r="C788" t="s">
        <v>1093</v>
      </c>
    </row>
    <row r="789" spans="1:3" x14ac:dyDescent="0.35">
      <c r="A789" t="s">
        <v>354</v>
      </c>
      <c r="B789" t="s">
        <v>997</v>
      </c>
      <c r="C789" t="s">
        <v>1014</v>
      </c>
    </row>
    <row r="790" spans="1:3" x14ac:dyDescent="0.35">
      <c r="A790" t="s">
        <v>181</v>
      </c>
      <c r="B790" t="s">
        <v>999</v>
      </c>
      <c r="C790" t="s">
        <v>1111</v>
      </c>
    </row>
    <row r="791" spans="1:3" x14ac:dyDescent="0.35">
      <c r="A791" t="s">
        <v>397</v>
      </c>
      <c r="B791" t="s">
        <v>1017</v>
      </c>
      <c r="C791" t="s">
        <v>1094</v>
      </c>
    </row>
    <row r="792" spans="1:3" x14ac:dyDescent="0.35">
      <c r="A792" t="s">
        <v>476</v>
      </c>
      <c r="B792" t="s">
        <v>1001</v>
      </c>
      <c r="C792" t="s">
        <v>1168</v>
      </c>
    </row>
    <row r="793" spans="1:3" x14ac:dyDescent="0.35">
      <c r="A793" t="s">
        <v>777</v>
      </c>
      <c r="B793" t="s">
        <v>999</v>
      </c>
      <c r="C793" t="s">
        <v>1147</v>
      </c>
    </row>
    <row r="794" spans="1:3" x14ac:dyDescent="0.35">
      <c r="A794" t="s">
        <v>52</v>
      </c>
      <c r="B794" t="s">
        <v>1017</v>
      </c>
      <c r="C794" t="s">
        <v>1033</v>
      </c>
    </row>
    <row r="795" spans="1:3" x14ac:dyDescent="0.35">
      <c r="A795" t="s">
        <v>555</v>
      </c>
      <c r="B795" t="s">
        <v>999</v>
      </c>
      <c r="C795" t="s">
        <v>1136</v>
      </c>
    </row>
    <row r="796" spans="1:3" x14ac:dyDescent="0.35">
      <c r="A796" t="s">
        <v>439</v>
      </c>
      <c r="B796" t="s">
        <v>994</v>
      </c>
      <c r="C796" t="s">
        <v>1163</v>
      </c>
    </row>
    <row r="797" spans="1:3" x14ac:dyDescent="0.35">
      <c r="A797" t="s">
        <v>204</v>
      </c>
      <c r="B797" t="s">
        <v>1017</v>
      </c>
      <c r="C797" t="s">
        <v>1043</v>
      </c>
    </row>
    <row r="798" spans="1:3" x14ac:dyDescent="0.35">
      <c r="A798" t="s">
        <v>697</v>
      </c>
      <c r="B798" t="s">
        <v>997</v>
      </c>
      <c r="C798" t="s">
        <v>1063</v>
      </c>
    </row>
    <row r="799" spans="1:3" x14ac:dyDescent="0.35">
      <c r="A799" t="s">
        <v>787</v>
      </c>
      <c r="B799" t="s">
        <v>999</v>
      </c>
      <c r="C799" t="s">
        <v>1097</v>
      </c>
    </row>
    <row r="800" spans="1:3" x14ac:dyDescent="0.35">
      <c r="A800" t="s">
        <v>807</v>
      </c>
      <c r="B800" t="s">
        <v>1001</v>
      </c>
      <c r="C800" t="s">
        <v>1151</v>
      </c>
    </row>
    <row r="801" spans="1:3" x14ac:dyDescent="0.35">
      <c r="A801" t="s">
        <v>260</v>
      </c>
      <c r="B801" t="s">
        <v>999</v>
      </c>
      <c r="C801" t="s">
        <v>1138</v>
      </c>
    </row>
    <row r="802" spans="1:3" x14ac:dyDescent="0.35">
      <c r="A802" t="s">
        <v>691</v>
      </c>
      <c r="B802" t="s">
        <v>994</v>
      </c>
      <c r="C802" t="s">
        <v>1088</v>
      </c>
    </row>
    <row r="803" spans="1:3" x14ac:dyDescent="0.35">
      <c r="A803" t="s">
        <v>41</v>
      </c>
      <c r="B803" t="s">
        <v>999</v>
      </c>
      <c r="C803" t="s">
        <v>1016</v>
      </c>
    </row>
    <row r="804" spans="1:3" x14ac:dyDescent="0.35">
      <c r="A804" t="s">
        <v>964</v>
      </c>
      <c r="B804" t="s">
        <v>994</v>
      </c>
      <c r="C804" t="s">
        <v>1179</v>
      </c>
    </row>
    <row r="805" spans="1:3" x14ac:dyDescent="0.35">
      <c r="A805" t="s">
        <v>634</v>
      </c>
      <c r="B805" t="s">
        <v>999</v>
      </c>
      <c r="C805" t="s">
        <v>1087</v>
      </c>
    </row>
    <row r="806" spans="1:3" x14ac:dyDescent="0.35">
      <c r="A806" t="s">
        <v>869</v>
      </c>
      <c r="B806" t="s">
        <v>999</v>
      </c>
      <c r="C806" t="s">
        <v>1041</v>
      </c>
    </row>
    <row r="807" spans="1:3" x14ac:dyDescent="0.35">
      <c r="A807" t="s">
        <v>845</v>
      </c>
      <c r="B807" t="s">
        <v>1001</v>
      </c>
      <c r="C807" t="s">
        <v>1091</v>
      </c>
    </row>
    <row r="808" spans="1:3" x14ac:dyDescent="0.35">
      <c r="A808" t="s">
        <v>423</v>
      </c>
      <c r="B808" t="s">
        <v>999</v>
      </c>
      <c r="C808" t="s">
        <v>1037</v>
      </c>
    </row>
    <row r="809" spans="1:3" x14ac:dyDescent="0.35">
      <c r="A809" t="s">
        <v>302</v>
      </c>
      <c r="B809" t="s">
        <v>994</v>
      </c>
      <c r="C809" t="s">
        <v>1149</v>
      </c>
    </row>
    <row r="810" spans="1:3" x14ac:dyDescent="0.35">
      <c r="A810" t="s">
        <v>859</v>
      </c>
      <c r="B810" t="s">
        <v>994</v>
      </c>
      <c r="C810" t="s">
        <v>1145</v>
      </c>
    </row>
    <row r="811" spans="1:3" x14ac:dyDescent="0.35">
      <c r="A811" t="s">
        <v>291</v>
      </c>
      <c r="B811" t="s">
        <v>997</v>
      </c>
      <c r="C811" t="s">
        <v>1014</v>
      </c>
    </row>
    <row r="812" spans="1:3" x14ac:dyDescent="0.35">
      <c r="A812" t="s">
        <v>114</v>
      </c>
      <c r="B812" t="s">
        <v>1017</v>
      </c>
      <c r="C812" t="s">
        <v>1028</v>
      </c>
    </row>
    <row r="813" spans="1:3" x14ac:dyDescent="0.35">
      <c r="A813" t="s">
        <v>333</v>
      </c>
      <c r="B813" t="s">
        <v>999</v>
      </c>
      <c r="C813" t="s">
        <v>1152</v>
      </c>
    </row>
    <row r="814" spans="1:3" x14ac:dyDescent="0.35">
      <c r="A814" t="s">
        <v>562</v>
      </c>
      <c r="B814" t="s">
        <v>994</v>
      </c>
      <c r="C814" t="s">
        <v>1078</v>
      </c>
    </row>
    <row r="815" spans="1:3" x14ac:dyDescent="0.35">
      <c r="A815" t="s">
        <v>854</v>
      </c>
      <c r="B815" t="s">
        <v>1001</v>
      </c>
      <c r="C815" t="s">
        <v>1159</v>
      </c>
    </row>
    <row r="816" spans="1:3" x14ac:dyDescent="0.35">
      <c r="A816" t="s">
        <v>48</v>
      </c>
      <c r="B816" t="s">
        <v>994</v>
      </c>
      <c r="C816" t="s">
        <v>1026</v>
      </c>
    </row>
    <row r="817" spans="1:3" x14ac:dyDescent="0.35">
      <c r="A817" t="s">
        <v>70</v>
      </c>
      <c r="B817" t="s">
        <v>999</v>
      </c>
      <c r="C817" t="s">
        <v>1046</v>
      </c>
    </row>
    <row r="818" spans="1:3" x14ac:dyDescent="0.35">
      <c r="A818" t="s">
        <v>346</v>
      </c>
      <c r="B818" t="s">
        <v>994</v>
      </c>
      <c r="C818" t="s">
        <v>996</v>
      </c>
    </row>
    <row r="819" spans="1:3" x14ac:dyDescent="0.35">
      <c r="A819" t="s">
        <v>180</v>
      </c>
      <c r="B819" t="s">
        <v>999</v>
      </c>
      <c r="C819" t="s">
        <v>1020</v>
      </c>
    </row>
    <row r="820" spans="1:3" x14ac:dyDescent="0.35">
      <c r="A820" t="s">
        <v>319</v>
      </c>
      <c r="B820" t="s">
        <v>999</v>
      </c>
      <c r="C820" t="s">
        <v>1076</v>
      </c>
    </row>
    <row r="821" spans="1:3" x14ac:dyDescent="0.35">
      <c r="A821" t="s">
        <v>375</v>
      </c>
      <c r="B821" t="s">
        <v>1001</v>
      </c>
      <c r="C821" t="s">
        <v>1156</v>
      </c>
    </row>
    <row r="822" spans="1:3" x14ac:dyDescent="0.35">
      <c r="A822" t="s">
        <v>496</v>
      </c>
      <c r="B822" t="s">
        <v>1017</v>
      </c>
      <c r="C822" t="s">
        <v>1053</v>
      </c>
    </row>
    <row r="823" spans="1:3" x14ac:dyDescent="0.35">
      <c r="A823" t="s">
        <v>115</v>
      </c>
      <c r="B823" t="s">
        <v>1017</v>
      </c>
      <c r="C823" t="s">
        <v>1018</v>
      </c>
    </row>
    <row r="824" spans="1:3" x14ac:dyDescent="0.35">
      <c r="A824" t="s">
        <v>232</v>
      </c>
      <c r="B824" t="s">
        <v>997</v>
      </c>
      <c r="C824" t="s">
        <v>1126</v>
      </c>
    </row>
    <row r="825" spans="1:3" x14ac:dyDescent="0.35">
      <c r="A825" t="s">
        <v>257</v>
      </c>
      <c r="B825" t="s">
        <v>1017</v>
      </c>
      <c r="C825" t="s">
        <v>1137</v>
      </c>
    </row>
    <row r="826" spans="1:3" x14ac:dyDescent="0.35">
      <c r="A826" t="s">
        <v>788</v>
      </c>
      <c r="B826" t="s">
        <v>999</v>
      </c>
      <c r="C826" t="s">
        <v>1046</v>
      </c>
    </row>
    <row r="827" spans="1:3" x14ac:dyDescent="0.35">
      <c r="A827" t="s">
        <v>467</v>
      </c>
      <c r="B827" t="s">
        <v>1017</v>
      </c>
      <c r="C827" t="s">
        <v>1031</v>
      </c>
    </row>
    <row r="828" spans="1:3" x14ac:dyDescent="0.35">
      <c r="A828" t="s">
        <v>639</v>
      </c>
      <c r="B828" t="s">
        <v>999</v>
      </c>
      <c r="C828" t="s">
        <v>1087</v>
      </c>
    </row>
    <row r="829" spans="1:3" x14ac:dyDescent="0.35">
      <c r="A829" t="s">
        <v>182</v>
      </c>
      <c r="B829" t="s">
        <v>999</v>
      </c>
      <c r="C829" t="s">
        <v>1112</v>
      </c>
    </row>
    <row r="830" spans="1:3" x14ac:dyDescent="0.35">
      <c r="A830" t="s">
        <v>882</v>
      </c>
      <c r="B830" t="s">
        <v>1001</v>
      </c>
      <c r="C830" t="s">
        <v>1159</v>
      </c>
    </row>
    <row r="831" spans="1:3" x14ac:dyDescent="0.35">
      <c r="A831" t="s">
        <v>343</v>
      </c>
      <c r="B831" t="s">
        <v>999</v>
      </c>
      <c r="C831" t="s">
        <v>1110</v>
      </c>
    </row>
    <row r="832" spans="1:3" x14ac:dyDescent="0.35">
      <c r="A832" t="s">
        <v>909</v>
      </c>
      <c r="B832" t="s">
        <v>1007</v>
      </c>
      <c r="C832" t="s">
        <v>1008</v>
      </c>
    </row>
    <row r="833" spans="1:3" x14ac:dyDescent="0.35">
      <c r="A833" t="s">
        <v>224</v>
      </c>
      <c r="B833" t="s">
        <v>1017</v>
      </c>
      <c r="C833" t="s">
        <v>1085</v>
      </c>
    </row>
    <row r="834" spans="1:3" x14ac:dyDescent="0.35">
      <c r="A834" t="s">
        <v>370</v>
      </c>
      <c r="B834" t="s">
        <v>994</v>
      </c>
      <c r="C834" t="s">
        <v>1099</v>
      </c>
    </row>
    <row r="835" spans="1:3" x14ac:dyDescent="0.35">
      <c r="A835" t="s">
        <v>659</v>
      </c>
      <c r="B835" t="s">
        <v>999</v>
      </c>
      <c r="C835" t="s">
        <v>1109</v>
      </c>
    </row>
    <row r="836" spans="1:3" x14ac:dyDescent="0.35">
      <c r="A836" t="s">
        <v>139</v>
      </c>
      <c r="B836" t="s">
        <v>1001</v>
      </c>
      <c r="C836" t="s">
        <v>1091</v>
      </c>
    </row>
    <row r="837" spans="1:3" x14ac:dyDescent="0.35">
      <c r="A837" t="s">
        <v>90</v>
      </c>
      <c r="B837" t="s">
        <v>1017</v>
      </c>
      <c r="C837" t="s">
        <v>1061</v>
      </c>
    </row>
    <row r="838" spans="1:3" x14ac:dyDescent="0.35">
      <c r="A838" t="s">
        <v>956</v>
      </c>
      <c r="B838" t="s">
        <v>999</v>
      </c>
      <c r="C838" t="s">
        <v>1020</v>
      </c>
    </row>
    <row r="839" spans="1:3" x14ac:dyDescent="0.35">
      <c r="A839" t="s">
        <v>401</v>
      </c>
      <c r="B839" t="s">
        <v>997</v>
      </c>
      <c r="C839" t="s">
        <v>1027</v>
      </c>
    </row>
    <row r="840" spans="1:3" x14ac:dyDescent="0.35">
      <c r="A840" t="s">
        <v>627</v>
      </c>
      <c r="B840" t="s">
        <v>999</v>
      </c>
      <c r="C840" t="s">
        <v>1054</v>
      </c>
    </row>
    <row r="841" spans="1:3" x14ac:dyDescent="0.35">
      <c r="A841" t="s">
        <v>172</v>
      </c>
      <c r="B841" t="s">
        <v>999</v>
      </c>
      <c r="C841" t="s">
        <v>1107</v>
      </c>
    </row>
    <row r="842" spans="1:3" x14ac:dyDescent="0.35">
      <c r="A842" t="s">
        <v>756</v>
      </c>
      <c r="B842" t="s">
        <v>999</v>
      </c>
      <c r="C842" t="s">
        <v>1057</v>
      </c>
    </row>
    <row r="843" spans="1:3" x14ac:dyDescent="0.35">
      <c r="A843" t="s">
        <v>556</v>
      </c>
      <c r="B843" t="s">
        <v>997</v>
      </c>
      <c r="C843" t="s">
        <v>1139</v>
      </c>
    </row>
    <row r="844" spans="1:3" x14ac:dyDescent="0.35">
      <c r="A844" t="s">
        <v>921</v>
      </c>
      <c r="B844" t="s">
        <v>1017</v>
      </c>
      <c r="C844" t="s">
        <v>1143</v>
      </c>
    </row>
    <row r="845" spans="1:3" x14ac:dyDescent="0.35">
      <c r="A845" t="s">
        <v>464</v>
      </c>
      <c r="B845" t="s">
        <v>1017</v>
      </c>
      <c r="C845" t="s">
        <v>1127</v>
      </c>
    </row>
    <row r="846" spans="1:3" x14ac:dyDescent="0.35">
      <c r="A846" t="s">
        <v>26</v>
      </c>
      <c r="B846" t="s">
        <v>999</v>
      </c>
      <c r="C846" t="s">
        <v>1009</v>
      </c>
    </row>
    <row r="847" spans="1:3" x14ac:dyDescent="0.35">
      <c r="A847" t="s">
        <v>174</v>
      </c>
      <c r="B847" t="s">
        <v>999</v>
      </c>
      <c r="C847" t="s">
        <v>1020</v>
      </c>
    </row>
    <row r="848" spans="1:3" x14ac:dyDescent="0.35">
      <c r="A848" t="s">
        <v>764</v>
      </c>
      <c r="B848" t="s">
        <v>994</v>
      </c>
      <c r="C848" t="s">
        <v>1088</v>
      </c>
    </row>
    <row r="849" spans="1:3" x14ac:dyDescent="0.35">
      <c r="A849" t="s">
        <v>259</v>
      </c>
      <c r="B849" t="s">
        <v>997</v>
      </c>
      <c r="C849" t="s">
        <v>998</v>
      </c>
    </row>
    <row r="850" spans="1:3" x14ac:dyDescent="0.35">
      <c r="A850" t="s">
        <v>287</v>
      </c>
      <c r="B850" t="s">
        <v>999</v>
      </c>
      <c r="C850" t="s">
        <v>1147</v>
      </c>
    </row>
    <row r="851" spans="1:3" x14ac:dyDescent="0.35">
      <c r="A851" t="s">
        <v>430</v>
      </c>
      <c r="B851" t="s">
        <v>994</v>
      </c>
      <c r="C851" t="s">
        <v>1144</v>
      </c>
    </row>
    <row r="852" spans="1:3" x14ac:dyDescent="0.35">
      <c r="A852" t="s">
        <v>685</v>
      </c>
      <c r="B852" t="s">
        <v>1017</v>
      </c>
      <c r="C852" t="s">
        <v>1075</v>
      </c>
    </row>
    <row r="853" spans="1:3" x14ac:dyDescent="0.35">
      <c r="A853" t="s">
        <v>564</v>
      </c>
      <c r="B853" t="s">
        <v>994</v>
      </c>
      <c r="C853" t="s">
        <v>1066</v>
      </c>
    </row>
    <row r="854" spans="1:3" x14ac:dyDescent="0.35">
      <c r="A854" t="s">
        <v>941</v>
      </c>
      <c r="B854" t="s">
        <v>997</v>
      </c>
      <c r="C854" t="s">
        <v>1038</v>
      </c>
    </row>
    <row r="855" spans="1:3" x14ac:dyDescent="0.35">
      <c r="A855" t="s">
        <v>463</v>
      </c>
      <c r="B855" t="s">
        <v>1007</v>
      </c>
      <c r="C855" t="s">
        <v>1154</v>
      </c>
    </row>
    <row r="856" spans="1:3" x14ac:dyDescent="0.35">
      <c r="A856" t="s">
        <v>676</v>
      </c>
      <c r="B856" t="s">
        <v>999</v>
      </c>
      <c r="C856" t="s">
        <v>1111</v>
      </c>
    </row>
    <row r="857" spans="1:3" x14ac:dyDescent="0.35">
      <c r="A857" t="s">
        <v>770</v>
      </c>
      <c r="B857" t="s">
        <v>1017</v>
      </c>
      <c r="C857" t="s">
        <v>1075</v>
      </c>
    </row>
    <row r="858" spans="1:3" x14ac:dyDescent="0.35">
      <c r="A858" t="s">
        <v>96</v>
      </c>
      <c r="B858" t="s">
        <v>999</v>
      </c>
      <c r="C858" t="s">
        <v>1032</v>
      </c>
    </row>
    <row r="859" spans="1:3" x14ac:dyDescent="0.35">
      <c r="A859" t="s">
        <v>742</v>
      </c>
      <c r="B859" t="s">
        <v>994</v>
      </c>
      <c r="C859" t="s">
        <v>1052</v>
      </c>
    </row>
    <row r="860" spans="1:3" x14ac:dyDescent="0.35">
      <c r="A860" t="s">
        <v>531</v>
      </c>
      <c r="B860" t="s">
        <v>999</v>
      </c>
      <c r="C860" t="s">
        <v>1009</v>
      </c>
    </row>
    <row r="861" spans="1:3" x14ac:dyDescent="0.35">
      <c r="A861" t="s">
        <v>947</v>
      </c>
      <c r="B861" t="s">
        <v>997</v>
      </c>
      <c r="C861" t="s">
        <v>1071</v>
      </c>
    </row>
    <row r="862" spans="1:3" x14ac:dyDescent="0.35">
      <c r="A862" t="s">
        <v>58</v>
      </c>
      <c r="B862" t="s">
        <v>997</v>
      </c>
      <c r="C862" t="s">
        <v>1038</v>
      </c>
    </row>
    <row r="863" spans="1:3" x14ac:dyDescent="0.35">
      <c r="A863" t="s">
        <v>671</v>
      </c>
      <c r="B863" t="s">
        <v>1017</v>
      </c>
      <c r="C863" t="s">
        <v>1124</v>
      </c>
    </row>
    <row r="864" spans="1:3" x14ac:dyDescent="0.35">
      <c r="A864" t="s">
        <v>87</v>
      </c>
      <c r="B864" t="s">
        <v>999</v>
      </c>
      <c r="C864" t="s">
        <v>1025</v>
      </c>
    </row>
    <row r="865" spans="1:3" x14ac:dyDescent="0.35">
      <c r="A865" t="s">
        <v>534</v>
      </c>
      <c r="B865" t="s">
        <v>994</v>
      </c>
      <c r="C865" t="s">
        <v>1052</v>
      </c>
    </row>
    <row r="866" spans="1:3" x14ac:dyDescent="0.35">
      <c r="A866" t="s">
        <v>695</v>
      </c>
      <c r="B866" t="s">
        <v>999</v>
      </c>
      <c r="C866" t="s">
        <v>1000</v>
      </c>
    </row>
    <row r="867" spans="1:3" x14ac:dyDescent="0.35">
      <c r="A867" t="s">
        <v>819</v>
      </c>
      <c r="B867" t="s">
        <v>994</v>
      </c>
      <c r="C867" t="s">
        <v>1157</v>
      </c>
    </row>
    <row r="868" spans="1:3" x14ac:dyDescent="0.35">
      <c r="A868" t="s">
        <v>216</v>
      </c>
      <c r="B868" t="s">
        <v>994</v>
      </c>
      <c r="C868" t="s">
        <v>1123</v>
      </c>
    </row>
    <row r="869" spans="1:3" x14ac:dyDescent="0.35">
      <c r="A869" t="s">
        <v>446</v>
      </c>
      <c r="B869" t="s">
        <v>1001</v>
      </c>
      <c r="C869" t="s">
        <v>1155</v>
      </c>
    </row>
    <row r="870" spans="1:3" x14ac:dyDescent="0.35">
      <c r="A870" t="s">
        <v>427</v>
      </c>
      <c r="B870" t="s">
        <v>999</v>
      </c>
      <c r="C870" t="s">
        <v>1102</v>
      </c>
    </row>
    <row r="871" spans="1:3" x14ac:dyDescent="0.35">
      <c r="A871" t="s">
        <v>461</v>
      </c>
      <c r="B871" t="s">
        <v>999</v>
      </c>
      <c r="C871" t="s">
        <v>1024</v>
      </c>
    </row>
    <row r="872" spans="1:3" x14ac:dyDescent="0.35">
      <c r="A872" t="s">
        <v>117</v>
      </c>
      <c r="B872" t="s">
        <v>1017</v>
      </c>
      <c r="C872" t="s">
        <v>1033</v>
      </c>
    </row>
    <row r="873" spans="1:3" x14ac:dyDescent="0.35">
      <c r="A873" t="s">
        <v>702</v>
      </c>
      <c r="B873" t="s">
        <v>1017</v>
      </c>
      <c r="C873" t="s">
        <v>1034</v>
      </c>
    </row>
    <row r="874" spans="1:3" x14ac:dyDescent="0.35">
      <c r="A874" t="s">
        <v>818</v>
      </c>
      <c r="B874" t="s">
        <v>997</v>
      </c>
      <c r="C874" t="s">
        <v>1165</v>
      </c>
    </row>
    <row r="875" spans="1:3" x14ac:dyDescent="0.35">
      <c r="A875" t="s">
        <v>368</v>
      </c>
      <c r="B875" t="s">
        <v>999</v>
      </c>
      <c r="C875" t="s">
        <v>1079</v>
      </c>
    </row>
    <row r="876" spans="1:3" x14ac:dyDescent="0.35">
      <c r="A876" t="s">
        <v>21</v>
      </c>
      <c r="B876" t="s">
        <v>997</v>
      </c>
      <c r="C876" t="s">
        <v>1004</v>
      </c>
    </row>
    <row r="877" spans="1:3" x14ac:dyDescent="0.35">
      <c r="A877" t="s">
        <v>250</v>
      </c>
      <c r="B877" t="s">
        <v>999</v>
      </c>
      <c r="C877" t="s">
        <v>1097</v>
      </c>
    </row>
    <row r="878" spans="1:3" x14ac:dyDescent="0.35">
      <c r="A878" t="s">
        <v>674</v>
      </c>
      <c r="B878" t="s">
        <v>999</v>
      </c>
      <c r="C878" t="s">
        <v>1110</v>
      </c>
    </row>
    <row r="879" spans="1:3" x14ac:dyDescent="0.35">
      <c r="A879" t="s">
        <v>908</v>
      </c>
      <c r="B879" t="s">
        <v>999</v>
      </c>
      <c r="C879" t="s">
        <v>1098</v>
      </c>
    </row>
    <row r="880" spans="1:3" x14ac:dyDescent="0.35">
      <c r="A880" t="s">
        <v>904</v>
      </c>
      <c r="B880" t="s">
        <v>999</v>
      </c>
      <c r="C880" t="s">
        <v>1152</v>
      </c>
    </row>
    <row r="881" spans="1:3" x14ac:dyDescent="0.35">
      <c r="A881" t="s">
        <v>207</v>
      </c>
      <c r="B881" t="s">
        <v>1017</v>
      </c>
      <c r="C881" t="s">
        <v>1100</v>
      </c>
    </row>
    <row r="882" spans="1:3" x14ac:dyDescent="0.35">
      <c r="A882" t="s">
        <v>183</v>
      </c>
      <c r="B882" t="s">
        <v>999</v>
      </c>
      <c r="C882" t="s">
        <v>1090</v>
      </c>
    </row>
    <row r="883" spans="1:3" x14ac:dyDescent="0.35">
      <c r="A883" t="s">
        <v>888</v>
      </c>
      <c r="B883" t="s">
        <v>999</v>
      </c>
      <c r="C883" t="s">
        <v>1114</v>
      </c>
    </row>
    <row r="884" spans="1:3" x14ac:dyDescent="0.35">
      <c r="A884" t="s">
        <v>94</v>
      </c>
      <c r="B884" t="s">
        <v>994</v>
      </c>
      <c r="C884" t="s">
        <v>1065</v>
      </c>
    </row>
    <row r="885" spans="1:3" x14ac:dyDescent="0.35">
      <c r="A885" t="s">
        <v>162</v>
      </c>
      <c r="B885" t="s">
        <v>999</v>
      </c>
      <c r="C885" t="s">
        <v>1073</v>
      </c>
    </row>
    <row r="886" spans="1:3" x14ac:dyDescent="0.35">
      <c r="A886" t="s">
        <v>579</v>
      </c>
      <c r="B886" t="s">
        <v>1001</v>
      </c>
      <c r="C886" t="s">
        <v>1168</v>
      </c>
    </row>
    <row r="887" spans="1:3" x14ac:dyDescent="0.35">
      <c r="A887" t="s">
        <v>167</v>
      </c>
      <c r="B887" t="s">
        <v>999</v>
      </c>
      <c r="C887" t="s">
        <v>1044</v>
      </c>
    </row>
    <row r="888" spans="1:3" x14ac:dyDescent="0.35">
      <c r="A888" t="s">
        <v>866</v>
      </c>
      <c r="B888" t="s">
        <v>999</v>
      </c>
      <c r="C888" t="s">
        <v>1067</v>
      </c>
    </row>
    <row r="889" spans="1:3" x14ac:dyDescent="0.35">
      <c r="A889" t="s">
        <v>293</v>
      </c>
      <c r="B889" t="s">
        <v>999</v>
      </c>
      <c r="C889" t="s">
        <v>1148</v>
      </c>
    </row>
    <row r="890" spans="1:3" x14ac:dyDescent="0.35">
      <c r="A890" t="s">
        <v>66</v>
      </c>
      <c r="B890" t="s">
        <v>999</v>
      </c>
      <c r="C890" t="s">
        <v>1044</v>
      </c>
    </row>
    <row r="891" spans="1:3" x14ac:dyDescent="0.35">
      <c r="A891" t="s">
        <v>380</v>
      </c>
      <c r="B891" t="s">
        <v>994</v>
      </c>
      <c r="C891" t="s">
        <v>1077</v>
      </c>
    </row>
    <row r="892" spans="1:3" x14ac:dyDescent="0.35">
      <c r="A892" t="s">
        <v>545</v>
      </c>
      <c r="B892" t="s">
        <v>994</v>
      </c>
      <c r="C892" t="s">
        <v>1083</v>
      </c>
    </row>
    <row r="893" spans="1:3" x14ac:dyDescent="0.35">
      <c r="A893" t="s">
        <v>311</v>
      </c>
      <c r="B893" t="s">
        <v>1017</v>
      </c>
      <c r="C893" t="s">
        <v>1124</v>
      </c>
    </row>
    <row r="894" spans="1:3" x14ac:dyDescent="0.35">
      <c r="A894" t="s">
        <v>378</v>
      </c>
      <c r="B894" t="s">
        <v>999</v>
      </c>
      <c r="C894" t="s">
        <v>1146</v>
      </c>
    </row>
    <row r="895" spans="1:3" x14ac:dyDescent="0.35">
      <c r="A895" t="s">
        <v>658</v>
      </c>
      <c r="B895" t="s">
        <v>1001</v>
      </c>
      <c r="C895" t="s">
        <v>1082</v>
      </c>
    </row>
    <row r="896" spans="1:3" x14ac:dyDescent="0.35">
      <c r="A896" t="s">
        <v>247</v>
      </c>
      <c r="B896" t="s">
        <v>999</v>
      </c>
      <c r="C896" t="s">
        <v>1122</v>
      </c>
    </row>
    <row r="897" spans="1:3" x14ac:dyDescent="0.35">
      <c r="A897" t="s">
        <v>334</v>
      </c>
      <c r="B897" t="s">
        <v>994</v>
      </c>
      <c r="C897" t="s">
        <v>1153</v>
      </c>
    </row>
    <row r="898" spans="1:3" x14ac:dyDescent="0.35">
      <c r="A898" t="s">
        <v>136</v>
      </c>
      <c r="B898" t="s">
        <v>999</v>
      </c>
      <c r="C898" t="s">
        <v>1089</v>
      </c>
    </row>
    <row r="899" spans="1:3" x14ac:dyDescent="0.35">
      <c r="A899" t="s">
        <v>840</v>
      </c>
      <c r="B899" t="s">
        <v>994</v>
      </c>
      <c r="C899" t="s">
        <v>1131</v>
      </c>
    </row>
    <row r="900" spans="1:3" x14ac:dyDescent="0.35">
      <c r="A900" t="s">
        <v>733</v>
      </c>
      <c r="B900" t="s">
        <v>999</v>
      </c>
      <c r="C900" t="s">
        <v>1084</v>
      </c>
    </row>
    <row r="901" spans="1:3" x14ac:dyDescent="0.35">
      <c r="A901" t="s">
        <v>796</v>
      </c>
      <c r="B901" t="s">
        <v>999</v>
      </c>
      <c r="C901" t="s">
        <v>1073</v>
      </c>
    </row>
    <row r="902" spans="1:3" x14ac:dyDescent="0.35">
      <c r="A902" t="s">
        <v>389</v>
      </c>
      <c r="B902" t="s">
        <v>999</v>
      </c>
      <c r="C902" t="s">
        <v>1016</v>
      </c>
    </row>
    <row r="903" spans="1:3" x14ac:dyDescent="0.35">
      <c r="A903" t="s">
        <v>878</v>
      </c>
      <c r="B903" t="s">
        <v>999</v>
      </c>
      <c r="C903" t="s">
        <v>1162</v>
      </c>
    </row>
    <row r="904" spans="1:3" x14ac:dyDescent="0.35">
      <c r="A904" t="s">
        <v>237</v>
      </c>
      <c r="B904" t="s">
        <v>999</v>
      </c>
      <c r="C904" t="s">
        <v>1035</v>
      </c>
    </row>
    <row r="905" spans="1:3" x14ac:dyDescent="0.35">
      <c r="A905" t="s">
        <v>703</v>
      </c>
      <c r="B905" t="s">
        <v>1017</v>
      </c>
      <c r="C905" t="s">
        <v>1127</v>
      </c>
    </row>
    <row r="906" spans="1:3" x14ac:dyDescent="0.35">
      <c r="A906" t="s">
        <v>416</v>
      </c>
      <c r="B906" t="s">
        <v>994</v>
      </c>
      <c r="C906" t="s">
        <v>1099</v>
      </c>
    </row>
    <row r="907" spans="1:3" x14ac:dyDescent="0.35">
      <c r="A907" t="s">
        <v>78</v>
      </c>
      <c r="B907" t="s">
        <v>999</v>
      </c>
      <c r="C907" t="s">
        <v>1054</v>
      </c>
    </row>
    <row r="908" spans="1:3" x14ac:dyDescent="0.35">
      <c r="A908" t="s">
        <v>512</v>
      </c>
      <c r="B908" t="s">
        <v>999</v>
      </c>
      <c r="C908" t="s">
        <v>1030</v>
      </c>
    </row>
    <row r="909" spans="1:3" x14ac:dyDescent="0.35">
      <c r="A909" t="s">
        <v>161</v>
      </c>
      <c r="B909" t="s">
        <v>999</v>
      </c>
      <c r="C909" t="s">
        <v>1086</v>
      </c>
    </row>
    <row r="910" spans="1:3" x14ac:dyDescent="0.35">
      <c r="A910" t="s">
        <v>280</v>
      </c>
      <c r="B910" t="s">
        <v>999</v>
      </c>
      <c r="C910" t="s">
        <v>1101</v>
      </c>
    </row>
    <row r="911" spans="1:3" x14ac:dyDescent="0.35">
      <c r="A911" t="s">
        <v>83</v>
      </c>
      <c r="B911" t="s">
        <v>1017</v>
      </c>
      <c r="C911" t="s">
        <v>1050</v>
      </c>
    </row>
    <row r="912" spans="1:3" x14ac:dyDescent="0.35">
      <c r="A912" t="s">
        <v>479</v>
      </c>
      <c r="B912" t="s">
        <v>1017</v>
      </c>
      <c r="C912" t="s">
        <v>1140</v>
      </c>
    </row>
    <row r="913" spans="1:3" x14ac:dyDescent="0.35">
      <c r="A913" t="s">
        <v>253</v>
      </c>
      <c r="B913" t="s">
        <v>999</v>
      </c>
      <c r="C913" t="s">
        <v>1136</v>
      </c>
    </row>
    <row r="914" spans="1:3" x14ac:dyDescent="0.35">
      <c r="A914" t="s">
        <v>306</v>
      </c>
      <c r="B914" t="s">
        <v>1007</v>
      </c>
      <c r="C914" t="s">
        <v>1008</v>
      </c>
    </row>
    <row r="915" spans="1:3" x14ac:dyDescent="0.35">
      <c r="A915" t="s">
        <v>856</v>
      </c>
      <c r="B915" t="s">
        <v>994</v>
      </c>
      <c r="C915" t="s">
        <v>1169</v>
      </c>
    </row>
    <row r="916" spans="1:3" x14ac:dyDescent="0.35">
      <c r="A916" t="s">
        <v>649</v>
      </c>
      <c r="B916" t="s">
        <v>994</v>
      </c>
      <c r="C916" t="s">
        <v>1062</v>
      </c>
    </row>
    <row r="917" spans="1:3" x14ac:dyDescent="0.35">
      <c r="A917" t="s">
        <v>694</v>
      </c>
      <c r="B917" t="s">
        <v>994</v>
      </c>
      <c r="C917" t="s">
        <v>1117</v>
      </c>
    </row>
    <row r="918" spans="1:3" x14ac:dyDescent="0.35">
      <c r="A918" t="s">
        <v>519</v>
      </c>
      <c r="B918" t="s">
        <v>999</v>
      </c>
      <c r="C918" t="s">
        <v>1138</v>
      </c>
    </row>
    <row r="919" spans="1:3" x14ac:dyDescent="0.35">
      <c r="A919" t="s">
        <v>648</v>
      </c>
      <c r="B919" t="s">
        <v>999</v>
      </c>
      <c r="C919" t="s">
        <v>1132</v>
      </c>
    </row>
    <row r="920" spans="1:3" x14ac:dyDescent="0.35">
      <c r="A920" t="s">
        <v>373</v>
      </c>
      <c r="B920" t="s">
        <v>1001</v>
      </c>
      <c r="C920" t="s">
        <v>1002</v>
      </c>
    </row>
    <row r="921" spans="1:3" x14ac:dyDescent="0.35">
      <c r="A921" t="s">
        <v>565</v>
      </c>
      <c r="B921" t="s">
        <v>999</v>
      </c>
      <c r="C921" t="s">
        <v>1136</v>
      </c>
    </row>
    <row r="922" spans="1:3" x14ac:dyDescent="0.35">
      <c r="A922" t="s">
        <v>784</v>
      </c>
      <c r="B922" t="s">
        <v>999</v>
      </c>
      <c r="C922" t="s">
        <v>1044</v>
      </c>
    </row>
    <row r="923" spans="1:3" x14ac:dyDescent="0.35">
      <c r="A923" t="s">
        <v>942</v>
      </c>
      <c r="B923" t="s">
        <v>999</v>
      </c>
      <c r="C923" t="s">
        <v>1177</v>
      </c>
    </row>
    <row r="924" spans="1:3" x14ac:dyDescent="0.35">
      <c r="A924" t="s">
        <v>681</v>
      </c>
      <c r="B924" t="s">
        <v>1017</v>
      </c>
      <c r="C924" t="s">
        <v>1061</v>
      </c>
    </row>
    <row r="925" spans="1:3" x14ac:dyDescent="0.35">
      <c r="A925" t="s">
        <v>501</v>
      </c>
      <c r="B925" t="s">
        <v>999</v>
      </c>
      <c r="C925" t="s">
        <v>1109</v>
      </c>
    </row>
    <row r="926" spans="1:3" x14ac:dyDescent="0.35">
      <c r="A926" t="s">
        <v>506</v>
      </c>
      <c r="B926" t="s">
        <v>997</v>
      </c>
      <c r="C926" t="s">
        <v>1165</v>
      </c>
    </row>
    <row r="927" spans="1:3" x14ac:dyDescent="0.35">
      <c r="A927" t="s">
        <v>261</v>
      </c>
      <c r="B927" t="s">
        <v>997</v>
      </c>
      <c r="C927" t="s">
        <v>1139</v>
      </c>
    </row>
    <row r="928" spans="1:3" x14ac:dyDescent="0.35">
      <c r="A928" t="s">
        <v>760</v>
      </c>
      <c r="B928" t="s">
        <v>1017</v>
      </c>
      <c r="C928" t="s">
        <v>1142</v>
      </c>
    </row>
    <row r="929" spans="1:3" x14ac:dyDescent="0.35">
      <c r="A929" t="s">
        <v>584</v>
      </c>
      <c r="B929" t="s">
        <v>1017</v>
      </c>
      <c r="C929" t="s">
        <v>1031</v>
      </c>
    </row>
    <row r="930" spans="1:3" x14ac:dyDescent="0.35">
      <c r="A930" t="s">
        <v>341</v>
      </c>
      <c r="B930" t="s">
        <v>1017</v>
      </c>
      <c r="C930" t="s">
        <v>1060</v>
      </c>
    </row>
    <row r="931" spans="1:3" x14ac:dyDescent="0.35">
      <c r="A931" t="s">
        <v>345</v>
      </c>
      <c r="B931" t="s">
        <v>999</v>
      </c>
      <c r="C931" t="s">
        <v>1051</v>
      </c>
    </row>
    <row r="932" spans="1:3" x14ac:dyDescent="0.35">
      <c r="A932" t="s">
        <v>800</v>
      </c>
      <c r="B932" t="s">
        <v>999</v>
      </c>
      <c r="C932" t="s">
        <v>1084</v>
      </c>
    </row>
    <row r="933" spans="1:3" x14ac:dyDescent="0.35">
      <c r="A933" t="s">
        <v>170</v>
      </c>
      <c r="B933" t="s">
        <v>999</v>
      </c>
      <c r="C933" t="s">
        <v>1105</v>
      </c>
    </row>
    <row r="934" spans="1:3" x14ac:dyDescent="0.35">
      <c r="A934" t="s">
        <v>808</v>
      </c>
      <c r="B934" t="s">
        <v>997</v>
      </c>
      <c r="C934" t="s">
        <v>1038</v>
      </c>
    </row>
    <row r="935" spans="1:3" x14ac:dyDescent="0.35">
      <c r="A935" t="s">
        <v>846</v>
      </c>
      <c r="B935" t="s">
        <v>997</v>
      </c>
      <c r="C935" t="s">
        <v>1014</v>
      </c>
    </row>
    <row r="936" spans="1:3" x14ac:dyDescent="0.35">
      <c r="A936" t="s">
        <v>944</v>
      </c>
      <c r="B936" t="s">
        <v>1017</v>
      </c>
      <c r="C936" t="s">
        <v>1043</v>
      </c>
    </row>
    <row r="937" spans="1:3" x14ac:dyDescent="0.35">
      <c r="A937" t="s">
        <v>366</v>
      </c>
      <c r="B937" t="s">
        <v>999</v>
      </c>
      <c r="C937" t="s">
        <v>1152</v>
      </c>
    </row>
    <row r="938" spans="1:3" x14ac:dyDescent="0.35">
      <c r="A938" t="s">
        <v>212</v>
      </c>
      <c r="B938" t="s">
        <v>999</v>
      </c>
      <c r="C938" t="s">
        <v>1107</v>
      </c>
    </row>
    <row r="939" spans="1:3" x14ac:dyDescent="0.35">
      <c r="A939" t="s">
        <v>926</v>
      </c>
      <c r="B939" t="s">
        <v>999</v>
      </c>
      <c r="C939" t="s">
        <v>1013</v>
      </c>
    </row>
    <row r="940" spans="1:3" x14ac:dyDescent="0.35">
      <c r="A940" t="s">
        <v>483</v>
      </c>
      <c r="B940" t="s">
        <v>999</v>
      </c>
      <c r="C940" t="s">
        <v>1035</v>
      </c>
    </row>
    <row r="941" spans="1:3" x14ac:dyDescent="0.35">
      <c r="A941" t="s">
        <v>324</v>
      </c>
      <c r="B941" t="s">
        <v>994</v>
      </c>
      <c r="C941" t="s">
        <v>1133</v>
      </c>
    </row>
    <row r="942" spans="1:3" x14ac:dyDescent="0.35">
      <c r="A942" t="s">
        <v>580</v>
      </c>
      <c r="B942" t="s">
        <v>999</v>
      </c>
      <c r="C942" t="s">
        <v>1148</v>
      </c>
    </row>
    <row r="943" spans="1:3" x14ac:dyDescent="0.35">
      <c r="A943" t="s">
        <v>422</v>
      </c>
      <c r="B943" t="s">
        <v>997</v>
      </c>
      <c r="C943" t="s">
        <v>1006</v>
      </c>
    </row>
    <row r="944" spans="1:3" x14ac:dyDescent="0.35">
      <c r="A944" t="s">
        <v>522</v>
      </c>
      <c r="B944" t="s">
        <v>994</v>
      </c>
      <c r="C944" t="s">
        <v>1133</v>
      </c>
    </row>
    <row r="945" spans="1:3" x14ac:dyDescent="0.35">
      <c r="A945" t="s">
        <v>146</v>
      </c>
      <c r="B945" t="s">
        <v>999</v>
      </c>
      <c r="C945" t="s">
        <v>1035</v>
      </c>
    </row>
    <row r="946" spans="1:3" x14ac:dyDescent="0.35">
      <c r="A946" t="s">
        <v>301</v>
      </c>
      <c r="B946" t="s">
        <v>994</v>
      </c>
      <c r="C946" t="s">
        <v>1062</v>
      </c>
    </row>
    <row r="947" spans="1:3" x14ac:dyDescent="0.35">
      <c r="A947" t="s">
        <v>211</v>
      </c>
      <c r="B947" t="s">
        <v>1017</v>
      </c>
      <c r="C947" t="s">
        <v>1021</v>
      </c>
    </row>
    <row r="948" spans="1:3" x14ac:dyDescent="0.35">
      <c r="A948" t="s">
        <v>226</v>
      </c>
      <c r="B948" t="s">
        <v>994</v>
      </c>
      <c r="C948" t="s">
        <v>1119</v>
      </c>
    </row>
    <row r="949" spans="1:3" x14ac:dyDescent="0.35">
      <c r="A949" t="s">
        <v>772</v>
      </c>
      <c r="B949" t="s">
        <v>994</v>
      </c>
      <c r="C949" t="s">
        <v>1166</v>
      </c>
    </row>
    <row r="950" spans="1:3" x14ac:dyDescent="0.35">
      <c r="A950" t="s">
        <v>194</v>
      </c>
      <c r="B950" t="s">
        <v>994</v>
      </c>
      <c r="C950" t="s">
        <v>1117</v>
      </c>
    </row>
    <row r="951" spans="1:3" x14ac:dyDescent="0.35">
      <c r="A951" t="s">
        <v>857</v>
      </c>
      <c r="B951" t="s">
        <v>1007</v>
      </c>
      <c r="C951" t="s">
        <v>1008</v>
      </c>
    </row>
    <row r="952" spans="1:3" x14ac:dyDescent="0.35">
      <c r="A952" t="s">
        <v>641</v>
      </c>
      <c r="B952" t="s">
        <v>1017</v>
      </c>
      <c r="C952" t="s">
        <v>1140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5E47-A176-465E-AF57-9494F3417DBF}">
  <dimension ref="A1:B13"/>
  <sheetViews>
    <sheetView workbookViewId="0">
      <selection sqref="A1:B13"/>
    </sheetView>
  </sheetViews>
  <sheetFormatPr baseColWidth="10" defaultRowHeight="14.5" x14ac:dyDescent="0.35"/>
  <cols>
    <col min="1" max="1" width="6.7265625" bestFit="1" customWidth="1"/>
    <col min="2" max="2" width="17" bestFit="1" customWidth="1"/>
  </cols>
  <sheetData>
    <row r="1" spans="1:2" x14ac:dyDescent="0.35">
      <c r="A1" t="s">
        <v>966</v>
      </c>
      <c r="B1" t="s">
        <v>967</v>
      </c>
    </row>
    <row r="2" spans="1:2" x14ac:dyDescent="0.35">
      <c r="A2" t="s">
        <v>968</v>
      </c>
      <c r="B2" t="s">
        <v>969</v>
      </c>
    </row>
    <row r="3" spans="1:2" x14ac:dyDescent="0.35">
      <c r="A3" t="s">
        <v>970</v>
      </c>
      <c r="B3" t="s">
        <v>971</v>
      </c>
    </row>
    <row r="4" spans="1:2" x14ac:dyDescent="0.35">
      <c r="A4" t="s">
        <v>972</v>
      </c>
      <c r="B4" t="s">
        <v>973</v>
      </c>
    </row>
    <row r="5" spans="1:2" x14ac:dyDescent="0.35">
      <c r="A5" t="s">
        <v>974</v>
      </c>
      <c r="B5" t="s">
        <v>975</v>
      </c>
    </row>
    <row r="6" spans="1:2" x14ac:dyDescent="0.35">
      <c r="A6" t="s">
        <v>976</v>
      </c>
      <c r="B6" t="s">
        <v>977</v>
      </c>
    </row>
    <row r="7" spans="1:2" x14ac:dyDescent="0.35">
      <c r="A7" t="s">
        <v>978</v>
      </c>
      <c r="B7" t="s">
        <v>979</v>
      </c>
    </row>
    <row r="8" spans="1:2" x14ac:dyDescent="0.35">
      <c r="A8" t="s">
        <v>980</v>
      </c>
      <c r="B8" t="s">
        <v>981</v>
      </c>
    </row>
    <row r="9" spans="1:2" x14ac:dyDescent="0.35">
      <c r="A9" t="s">
        <v>982</v>
      </c>
      <c r="B9" t="s">
        <v>983</v>
      </c>
    </row>
    <row r="10" spans="1:2" x14ac:dyDescent="0.35">
      <c r="A10" t="s">
        <v>984</v>
      </c>
      <c r="B10" t="s">
        <v>985</v>
      </c>
    </row>
    <row r="11" spans="1:2" x14ac:dyDescent="0.35">
      <c r="A11" t="s">
        <v>986</v>
      </c>
      <c r="B11" t="s">
        <v>987</v>
      </c>
    </row>
    <row r="12" spans="1:2" x14ac:dyDescent="0.35">
      <c r="A12" t="s">
        <v>988</v>
      </c>
      <c r="B12" t="s">
        <v>989</v>
      </c>
    </row>
    <row r="13" spans="1:2" x14ac:dyDescent="0.35">
      <c r="A13" t="s">
        <v>990</v>
      </c>
      <c r="B13" t="s">
        <v>991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57BA-0CA1-4B92-9C38-3410D5589702}">
  <dimension ref="A1:G23"/>
  <sheetViews>
    <sheetView showGridLines="0" workbookViewId="0">
      <selection activeCell="D3" sqref="D3"/>
    </sheetView>
  </sheetViews>
  <sheetFormatPr baseColWidth="10" defaultRowHeight="14.5" x14ac:dyDescent="0.35"/>
  <cols>
    <col min="1" max="1" width="10.90625" customWidth="1"/>
    <col min="2" max="2" width="17.7265625" bestFit="1" customWidth="1"/>
  </cols>
  <sheetData>
    <row r="1" spans="1:7" x14ac:dyDescent="0.35">
      <c r="A1" s="30" t="s">
        <v>1236</v>
      </c>
      <c r="B1" s="30" t="s">
        <v>1237</v>
      </c>
    </row>
    <row r="2" spans="1:7" x14ac:dyDescent="0.35">
      <c r="A2" t="s">
        <v>1238</v>
      </c>
      <c r="B2" s="10">
        <f>Aux_KPI!B4</f>
        <v>1289101896.8099992</v>
      </c>
    </row>
    <row r="3" spans="1:7" x14ac:dyDescent="0.35">
      <c r="A3" t="s">
        <v>1239</v>
      </c>
      <c r="B3" s="10">
        <f>-907076517.38</f>
        <v>-907076517.38</v>
      </c>
    </row>
    <row r="4" spans="1:7" x14ac:dyDescent="0.35">
      <c r="A4" t="s">
        <v>1218</v>
      </c>
      <c r="B4" s="10">
        <f>Aux_KPI!D4</f>
        <v>382025379.42999971</v>
      </c>
    </row>
    <row r="6" spans="1:7" s="3" customFormat="1" x14ac:dyDescent="0.35">
      <c r="A6" s="36"/>
      <c r="B6" s="35"/>
      <c r="C6" s="35"/>
      <c r="D6" s="35"/>
      <c r="E6" s="35"/>
      <c r="F6" s="35"/>
      <c r="G6" s="35"/>
    </row>
    <row r="7" spans="1:7" s="3" customFormat="1" x14ac:dyDescent="0.35">
      <c r="A7" s="35"/>
      <c r="B7" s="35"/>
      <c r="C7" s="35"/>
      <c r="D7" s="35"/>
      <c r="E7" s="35"/>
      <c r="F7" s="35"/>
      <c r="G7" s="35"/>
    </row>
    <row r="8" spans="1:7" s="3" customFormat="1" x14ac:dyDescent="0.35">
      <c r="A8" s="35"/>
      <c r="B8" s="35"/>
      <c r="C8" s="35"/>
      <c r="D8" s="35"/>
      <c r="E8" s="35"/>
      <c r="F8" s="35"/>
      <c r="G8" s="35"/>
    </row>
    <row r="9" spans="1:7" s="3" customFormat="1" x14ac:dyDescent="0.35">
      <c r="A9" s="35"/>
      <c r="B9" s="35"/>
      <c r="C9" s="35"/>
      <c r="D9" s="35"/>
      <c r="E9" s="35"/>
      <c r="F9" s="35"/>
      <c r="G9" s="35"/>
    </row>
    <row r="10" spans="1:7" s="3" customFormat="1" x14ac:dyDescent="0.35">
      <c r="A10" s="35"/>
      <c r="B10" s="35"/>
      <c r="C10" s="35"/>
      <c r="D10" s="35"/>
      <c r="E10" s="35"/>
      <c r="F10" s="35"/>
      <c r="G10" s="35"/>
    </row>
    <row r="11" spans="1:7" s="3" customFormat="1" x14ac:dyDescent="0.35">
      <c r="A11" s="36"/>
      <c r="B11" s="35"/>
      <c r="C11" s="35"/>
      <c r="D11" s="35"/>
      <c r="E11" s="35"/>
      <c r="F11" s="35"/>
      <c r="G11" s="35"/>
    </row>
    <row r="12" spans="1:7" s="3" customFormat="1" x14ac:dyDescent="0.35">
      <c r="A12" s="35"/>
      <c r="B12" s="35"/>
      <c r="C12" s="35"/>
      <c r="D12" s="35"/>
      <c r="E12" s="35"/>
      <c r="F12" s="35"/>
      <c r="G12" s="35"/>
    </row>
    <row r="13" spans="1:7" s="3" customFormat="1" x14ac:dyDescent="0.35">
      <c r="A13" s="35"/>
      <c r="B13" s="35"/>
      <c r="C13" s="35"/>
      <c r="D13" s="35"/>
      <c r="E13" s="35"/>
      <c r="F13" s="35"/>
      <c r="G13" s="35"/>
    </row>
    <row r="14" spans="1:7" s="3" customFormat="1" x14ac:dyDescent="0.35">
      <c r="A14" s="35"/>
      <c r="B14" s="35"/>
      <c r="C14" s="35"/>
      <c r="D14" s="35"/>
      <c r="E14" s="35"/>
      <c r="F14" s="35"/>
      <c r="G14" s="35"/>
    </row>
    <row r="22" spans="1:7" x14ac:dyDescent="0.35">
      <c r="A22" s="34"/>
      <c r="B22" s="34"/>
      <c r="C22" s="34"/>
      <c r="D22" s="34"/>
      <c r="E22" s="34"/>
      <c r="F22" s="34"/>
      <c r="G22" s="34"/>
    </row>
    <row r="23" spans="1:7" x14ac:dyDescent="0.35">
      <c r="A23" s="34"/>
      <c r="B23" s="34"/>
      <c r="C23" s="34"/>
      <c r="D23" s="34"/>
      <c r="E23" s="34"/>
      <c r="F23" s="34"/>
      <c r="G23" s="34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70B9-CFF7-4407-A598-A5A51B648FAB}">
  <dimension ref="B3:C188"/>
  <sheetViews>
    <sheetView workbookViewId="0">
      <selection activeCell="B9" sqref="B4:B13"/>
    </sheetView>
  </sheetViews>
  <sheetFormatPr baseColWidth="10" defaultRowHeight="14.5" x14ac:dyDescent="0.35"/>
  <cols>
    <col min="2" max="2" width="16.54296875" bestFit="1" customWidth="1"/>
    <col min="3" max="3" width="24.36328125" style="10" bestFit="1" customWidth="1"/>
  </cols>
  <sheetData>
    <row r="3" spans="2:3" x14ac:dyDescent="0.35">
      <c r="B3" s="2" t="s">
        <v>1184</v>
      </c>
      <c r="C3" t="s">
        <v>1198</v>
      </c>
    </row>
    <row r="4" spans="2:3" x14ac:dyDescent="0.35">
      <c r="B4" s="3" t="s">
        <v>1083</v>
      </c>
      <c r="C4">
        <v>16670799.379999999</v>
      </c>
    </row>
    <row r="5" spans="2:3" x14ac:dyDescent="0.35">
      <c r="B5" s="3" t="s">
        <v>1145</v>
      </c>
      <c r="C5">
        <v>18652827.280000001</v>
      </c>
    </row>
    <row r="6" spans="2:3" x14ac:dyDescent="0.35">
      <c r="B6" s="3" t="s">
        <v>1177</v>
      </c>
      <c r="C6">
        <v>21450067.060000002</v>
      </c>
    </row>
    <row r="7" spans="2:3" x14ac:dyDescent="0.35">
      <c r="B7" s="3" t="s">
        <v>1000</v>
      </c>
      <c r="C7">
        <v>15436762.6</v>
      </c>
    </row>
    <row r="8" spans="2:3" x14ac:dyDescent="0.35">
      <c r="B8" s="3" t="s">
        <v>1089</v>
      </c>
      <c r="C8">
        <v>16694649.219999999</v>
      </c>
    </row>
    <row r="9" spans="2:3" x14ac:dyDescent="0.35">
      <c r="B9" s="3" t="s">
        <v>1078</v>
      </c>
      <c r="C9">
        <v>15752290.26</v>
      </c>
    </row>
    <row r="10" spans="2:3" x14ac:dyDescent="0.35">
      <c r="B10" s="3" t="s">
        <v>1140</v>
      </c>
      <c r="C10">
        <v>18963432.799999997</v>
      </c>
    </row>
    <row r="11" spans="2:3" x14ac:dyDescent="0.35">
      <c r="B11" s="3" t="s">
        <v>1062</v>
      </c>
      <c r="C11">
        <v>16053894.880000001</v>
      </c>
    </row>
    <row r="12" spans="2:3" x14ac:dyDescent="0.35">
      <c r="B12" s="3" t="s">
        <v>1059</v>
      </c>
      <c r="C12">
        <v>15565790.9</v>
      </c>
    </row>
    <row r="13" spans="2:3" x14ac:dyDescent="0.35">
      <c r="B13" s="3" t="s">
        <v>1020</v>
      </c>
      <c r="C13">
        <v>19881838.809999999</v>
      </c>
    </row>
    <row r="14" spans="2:3" x14ac:dyDescent="0.35">
      <c r="B14" s="3" t="s">
        <v>1185</v>
      </c>
      <c r="C14">
        <v>175122353.19</v>
      </c>
    </row>
    <row r="15" spans="2:3" x14ac:dyDescent="0.35">
      <c r="C15"/>
    </row>
    <row r="16" spans="2:3" x14ac:dyDescent="0.35">
      <c r="C16"/>
    </row>
    <row r="17" spans="3:3" x14ac:dyDescent="0.35">
      <c r="C17"/>
    </row>
    <row r="18" spans="3:3" x14ac:dyDescent="0.35">
      <c r="C18"/>
    </row>
    <row r="19" spans="3:3" x14ac:dyDescent="0.35">
      <c r="C19"/>
    </row>
    <row r="20" spans="3:3" x14ac:dyDescent="0.35">
      <c r="C20"/>
    </row>
    <row r="21" spans="3:3" x14ac:dyDescent="0.35">
      <c r="C21"/>
    </row>
    <row r="22" spans="3:3" x14ac:dyDescent="0.35">
      <c r="C22"/>
    </row>
    <row r="23" spans="3:3" x14ac:dyDescent="0.35">
      <c r="C23"/>
    </row>
    <row r="24" spans="3:3" x14ac:dyDescent="0.35">
      <c r="C24"/>
    </row>
    <row r="25" spans="3:3" x14ac:dyDescent="0.35">
      <c r="C25"/>
    </row>
    <row r="26" spans="3:3" x14ac:dyDescent="0.35">
      <c r="C26"/>
    </row>
    <row r="27" spans="3:3" x14ac:dyDescent="0.35">
      <c r="C27"/>
    </row>
    <row r="28" spans="3:3" x14ac:dyDescent="0.35">
      <c r="C28"/>
    </row>
    <row r="29" spans="3:3" x14ac:dyDescent="0.35">
      <c r="C29"/>
    </row>
    <row r="30" spans="3:3" x14ac:dyDescent="0.35">
      <c r="C30"/>
    </row>
    <row r="31" spans="3:3" x14ac:dyDescent="0.35">
      <c r="C31"/>
    </row>
    <row r="32" spans="3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  <row r="37" spans="3:3" x14ac:dyDescent="0.35">
      <c r="C37"/>
    </row>
    <row r="38" spans="3:3" x14ac:dyDescent="0.35">
      <c r="C38"/>
    </row>
    <row r="39" spans="3:3" x14ac:dyDescent="0.35">
      <c r="C39"/>
    </row>
    <row r="40" spans="3:3" x14ac:dyDescent="0.35">
      <c r="C40"/>
    </row>
    <row r="41" spans="3:3" x14ac:dyDescent="0.35">
      <c r="C41"/>
    </row>
    <row r="42" spans="3:3" x14ac:dyDescent="0.35">
      <c r="C42"/>
    </row>
    <row r="43" spans="3:3" x14ac:dyDescent="0.35">
      <c r="C43"/>
    </row>
    <row r="44" spans="3:3" x14ac:dyDescent="0.35">
      <c r="C44"/>
    </row>
    <row r="45" spans="3:3" x14ac:dyDescent="0.35">
      <c r="C45"/>
    </row>
    <row r="46" spans="3:3" x14ac:dyDescent="0.35">
      <c r="C46"/>
    </row>
    <row r="47" spans="3:3" x14ac:dyDescent="0.35">
      <c r="C47"/>
    </row>
    <row r="48" spans="3:3" x14ac:dyDescent="0.35">
      <c r="C48"/>
    </row>
    <row r="49" spans="3:3" x14ac:dyDescent="0.35">
      <c r="C49"/>
    </row>
    <row r="50" spans="3:3" x14ac:dyDescent="0.35">
      <c r="C50"/>
    </row>
    <row r="51" spans="3:3" x14ac:dyDescent="0.35">
      <c r="C51"/>
    </row>
    <row r="52" spans="3:3" x14ac:dyDescent="0.35">
      <c r="C52"/>
    </row>
    <row r="53" spans="3:3" x14ac:dyDescent="0.35">
      <c r="C53"/>
    </row>
    <row r="54" spans="3:3" x14ac:dyDescent="0.35">
      <c r="C54"/>
    </row>
    <row r="55" spans="3:3" x14ac:dyDescent="0.35">
      <c r="C55"/>
    </row>
    <row r="56" spans="3:3" x14ac:dyDescent="0.35">
      <c r="C56"/>
    </row>
    <row r="57" spans="3:3" x14ac:dyDescent="0.35">
      <c r="C57"/>
    </row>
    <row r="58" spans="3:3" x14ac:dyDescent="0.35">
      <c r="C58"/>
    </row>
    <row r="59" spans="3:3" x14ac:dyDescent="0.35">
      <c r="C59"/>
    </row>
    <row r="60" spans="3:3" x14ac:dyDescent="0.35">
      <c r="C60"/>
    </row>
    <row r="61" spans="3:3" x14ac:dyDescent="0.35">
      <c r="C61"/>
    </row>
    <row r="62" spans="3:3" x14ac:dyDescent="0.35">
      <c r="C62"/>
    </row>
    <row r="63" spans="3:3" x14ac:dyDescent="0.35">
      <c r="C63"/>
    </row>
    <row r="64" spans="3:3" x14ac:dyDescent="0.35">
      <c r="C64"/>
    </row>
    <row r="65" spans="3:3" x14ac:dyDescent="0.35">
      <c r="C65"/>
    </row>
    <row r="66" spans="3:3" x14ac:dyDescent="0.35">
      <c r="C66"/>
    </row>
    <row r="67" spans="3:3" x14ac:dyDescent="0.35">
      <c r="C67"/>
    </row>
    <row r="68" spans="3:3" x14ac:dyDescent="0.35">
      <c r="C68"/>
    </row>
    <row r="69" spans="3:3" x14ac:dyDescent="0.35">
      <c r="C69"/>
    </row>
    <row r="70" spans="3:3" x14ac:dyDescent="0.35">
      <c r="C70"/>
    </row>
    <row r="71" spans="3:3" x14ac:dyDescent="0.35">
      <c r="C71"/>
    </row>
    <row r="72" spans="3:3" x14ac:dyDescent="0.35">
      <c r="C72"/>
    </row>
    <row r="73" spans="3:3" x14ac:dyDescent="0.35">
      <c r="C73"/>
    </row>
    <row r="74" spans="3:3" x14ac:dyDescent="0.35">
      <c r="C74"/>
    </row>
    <row r="75" spans="3:3" x14ac:dyDescent="0.35">
      <c r="C75"/>
    </row>
    <row r="76" spans="3:3" x14ac:dyDescent="0.35">
      <c r="C76"/>
    </row>
    <row r="77" spans="3:3" x14ac:dyDescent="0.35">
      <c r="C77"/>
    </row>
    <row r="78" spans="3:3" x14ac:dyDescent="0.35">
      <c r="C78"/>
    </row>
    <row r="79" spans="3:3" x14ac:dyDescent="0.35">
      <c r="C79"/>
    </row>
    <row r="80" spans="3:3" x14ac:dyDescent="0.35">
      <c r="C80"/>
    </row>
    <row r="81" spans="3:3" x14ac:dyDescent="0.35">
      <c r="C81"/>
    </row>
    <row r="82" spans="3:3" x14ac:dyDescent="0.35">
      <c r="C82"/>
    </row>
    <row r="83" spans="3:3" x14ac:dyDescent="0.35">
      <c r="C83"/>
    </row>
    <row r="84" spans="3:3" x14ac:dyDescent="0.35">
      <c r="C84"/>
    </row>
    <row r="85" spans="3:3" x14ac:dyDescent="0.35">
      <c r="C85"/>
    </row>
    <row r="86" spans="3:3" x14ac:dyDescent="0.35">
      <c r="C86"/>
    </row>
    <row r="87" spans="3:3" x14ac:dyDescent="0.35">
      <c r="C87"/>
    </row>
    <row r="88" spans="3:3" x14ac:dyDescent="0.35">
      <c r="C88"/>
    </row>
    <row r="89" spans="3:3" x14ac:dyDescent="0.35">
      <c r="C89"/>
    </row>
    <row r="90" spans="3:3" x14ac:dyDescent="0.35">
      <c r="C90"/>
    </row>
    <row r="91" spans="3:3" x14ac:dyDescent="0.35">
      <c r="C91"/>
    </row>
    <row r="92" spans="3:3" x14ac:dyDescent="0.35">
      <c r="C92"/>
    </row>
    <row r="93" spans="3:3" x14ac:dyDescent="0.35">
      <c r="C93"/>
    </row>
    <row r="94" spans="3:3" x14ac:dyDescent="0.35">
      <c r="C94"/>
    </row>
    <row r="95" spans="3:3" x14ac:dyDescent="0.35">
      <c r="C95"/>
    </row>
    <row r="96" spans="3:3" x14ac:dyDescent="0.35">
      <c r="C96"/>
    </row>
    <row r="97" spans="3:3" x14ac:dyDescent="0.35">
      <c r="C97"/>
    </row>
    <row r="98" spans="3:3" x14ac:dyDescent="0.35">
      <c r="C98"/>
    </row>
    <row r="99" spans="3:3" x14ac:dyDescent="0.35">
      <c r="C99"/>
    </row>
    <row r="100" spans="3:3" x14ac:dyDescent="0.35">
      <c r="C100"/>
    </row>
    <row r="101" spans="3:3" x14ac:dyDescent="0.35">
      <c r="C101"/>
    </row>
    <row r="102" spans="3:3" x14ac:dyDescent="0.35">
      <c r="C102"/>
    </row>
    <row r="103" spans="3:3" x14ac:dyDescent="0.35">
      <c r="C103"/>
    </row>
    <row r="104" spans="3:3" x14ac:dyDescent="0.35">
      <c r="C104"/>
    </row>
    <row r="105" spans="3:3" x14ac:dyDescent="0.35">
      <c r="C105"/>
    </row>
    <row r="106" spans="3:3" x14ac:dyDescent="0.35">
      <c r="C106"/>
    </row>
    <row r="107" spans="3:3" x14ac:dyDescent="0.35">
      <c r="C107"/>
    </row>
    <row r="108" spans="3:3" x14ac:dyDescent="0.35">
      <c r="C108"/>
    </row>
    <row r="109" spans="3:3" x14ac:dyDescent="0.35">
      <c r="C109"/>
    </row>
    <row r="110" spans="3:3" x14ac:dyDescent="0.35">
      <c r="C110"/>
    </row>
    <row r="111" spans="3:3" x14ac:dyDescent="0.35">
      <c r="C111"/>
    </row>
    <row r="112" spans="3:3" x14ac:dyDescent="0.35">
      <c r="C112"/>
    </row>
    <row r="113" spans="3:3" x14ac:dyDescent="0.35">
      <c r="C113"/>
    </row>
    <row r="114" spans="3:3" x14ac:dyDescent="0.35">
      <c r="C114"/>
    </row>
    <row r="115" spans="3:3" x14ac:dyDescent="0.35">
      <c r="C115"/>
    </row>
    <row r="116" spans="3:3" x14ac:dyDescent="0.35">
      <c r="C116"/>
    </row>
    <row r="117" spans="3:3" x14ac:dyDescent="0.35">
      <c r="C117"/>
    </row>
    <row r="118" spans="3:3" x14ac:dyDescent="0.35">
      <c r="C118"/>
    </row>
    <row r="119" spans="3:3" x14ac:dyDescent="0.35">
      <c r="C119"/>
    </row>
    <row r="120" spans="3:3" x14ac:dyDescent="0.35">
      <c r="C120"/>
    </row>
    <row r="121" spans="3:3" x14ac:dyDescent="0.35">
      <c r="C121"/>
    </row>
    <row r="122" spans="3:3" x14ac:dyDescent="0.35">
      <c r="C122"/>
    </row>
    <row r="123" spans="3:3" x14ac:dyDescent="0.35">
      <c r="C123"/>
    </row>
    <row r="124" spans="3:3" x14ac:dyDescent="0.35">
      <c r="C124"/>
    </row>
    <row r="125" spans="3:3" x14ac:dyDescent="0.35">
      <c r="C125"/>
    </row>
    <row r="126" spans="3:3" x14ac:dyDescent="0.35">
      <c r="C126"/>
    </row>
    <row r="127" spans="3:3" x14ac:dyDescent="0.35">
      <c r="C127"/>
    </row>
    <row r="128" spans="3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  <row r="143" spans="3:3" x14ac:dyDescent="0.35">
      <c r="C143"/>
    </row>
    <row r="144" spans="3:3" x14ac:dyDescent="0.35">
      <c r="C144"/>
    </row>
    <row r="145" spans="3:3" x14ac:dyDescent="0.35">
      <c r="C145"/>
    </row>
    <row r="146" spans="3:3" x14ac:dyDescent="0.35">
      <c r="C146"/>
    </row>
    <row r="147" spans="3:3" x14ac:dyDescent="0.35">
      <c r="C147"/>
    </row>
    <row r="148" spans="3:3" x14ac:dyDescent="0.35">
      <c r="C148"/>
    </row>
    <row r="149" spans="3:3" x14ac:dyDescent="0.35">
      <c r="C149"/>
    </row>
    <row r="150" spans="3:3" x14ac:dyDescent="0.35">
      <c r="C150"/>
    </row>
    <row r="151" spans="3:3" x14ac:dyDescent="0.35">
      <c r="C151"/>
    </row>
    <row r="152" spans="3:3" x14ac:dyDescent="0.35">
      <c r="C152"/>
    </row>
    <row r="153" spans="3:3" x14ac:dyDescent="0.35">
      <c r="C153"/>
    </row>
    <row r="154" spans="3:3" x14ac:dyDescent="0.35">
      <c r="C154"/>
    </row>
    <row r="155" spans="3:3" x14ac:dyDescent="0.35">
      <c r="C155"/>
    </row>
    <row r="156" spans="3:3" x14ac:dyDescent="0.35">
      <c r="C156"/>
    </row>
    <row r="157" spans="3:3" x14ac:dyDescent="0.35">
      <c r="C157"/>
    </row>
    <row r="158" spans="3:3" x14ac:dyDescent="0.35">
      <c r="C158"/>
    </row>
    <row r="159" spans="3:3" x14ac:dyDescent="0.35">
      <c r="C159"/>
    </row>
    <row r="160" spans="3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3E41-0070-4F4E-8AA8-B13E4B231192}">
  <dimension ref="B3:D4"/>
  <sheetViews>
    <sheetView workbookViewId="0">
      <selection activeCell="G5" sqref="G5"/>
    </sheetView>
  </sheetViews>
  <sheetFormatPr baseColWidth="10" defaultRowHeight="14.5" x14ac:dyDescent="0.35"/>
  <cols>
    <col min="2" max="2" width="16.453125" bestFit="1" customWidth="1"/>
    <col min="3" max="3" width="15.26953125" bestFit="1" customWidth="1"/>
    <col min="4" max="4" width="19.81640625" bestFit="1" customWidth="1"/>
  </cols>
  <sheetData>
    <row r="3" spans="2:4" x14ac:dyDescent="0.35">
      <c r="B3" t="s">
        <v>1233</v>
      </c>
      <c r="C3" t="s">
        <v>1203</v>
      </c>
      <c r="D3" t="s">
        <v>1234</v>
      </c>
    </row>
    <row r="4" spans="2:4" x14ac:dyDescent="0.35">
      <c r="B4" s="6">
        <v>1289101896.8099992</v>
      </c>
      <c r="C4" s="32">
        <v>0.29635002506423774</v>
      </c>
      <c r="D4" s="18">
        <v>382025379.42999971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B878-8D27-4036-9046-D83FAEDA36A0}">
  <dimension ref="B2:D7"/>
  <sheetViews>
    <sheetView workbookViewId="0">
      <selection activeCell="E8" sqref="E8"/>
    </sheetView>
  </sheetViews>
  <sheetFormatPr baseColWidth="10" defaultRowHeight="14.5" x14ac:dyDescent="0.35"/>
  <cols>
    <col min="2" max="2" width="16.54296875" bestFit="1" customWidth="1"/>
    <col min="3" max="3" width="16.453125" bestFit="1" customWidth="1"/>
    <col min="4" max="4" width="15.6328125" customWidth="1"/>
  </cols>
  <sheetData>
    <row r="2" spans="2:4" x14ac:dyDescent="0.35">
      <c r="D2" t="s">
        <v>1235</v>
      </c>
    </row>
    <row r="3" spans="2:4" x14ac:dyDescent="0.35">
      <c r="B3" s="2" t="s">
        <v>1184</v>
      </c>
      <c r="C3" t="s">
        <v>1233</v>
      </c>
      <c r="D3" s="33">
        <f>(C6/C5)-1</f>
        <v>-0.23727675124188097</v>
      </c>
    </row>
    <row r="4" spans="2:4" x14ac:dyDescent="0.35">
      <c r="B4" s="3">
        <v>2020</v>
      </c>
      <c r="C4" s="6">
        <v>437291629.94</v>
      </c>
    </row>
    <row r="5" spans="2:4" x14ac:dyDescent="0.35">
      <c r="B5" s="3">
        <v>2021</v>
      </c>
      <c r="C5" s="6">
        <v>483235395.83999985</v>
      </c>
    </row>
    <row r="6" spans="2:4" x14ac:dyDescent="0.35">
      <c r="B6" s="3">
        <v>2022</v>
      </c>
      <c r="C6" s="6">
        <v>368574871.03000033</v>
      </c>
    </row>
    <row r="7" spans="2:4" x14ac:dyDescent="0.35">
      <c r="B7" s="3" t="s">
        <v>1185</v>
      </c>
      <c r="C7" s="6">
        <v>1289101896.8099992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D5F0-D904-4776-B9B8-247D840F62CC}">
  <dimension ref="B3:C42"/>
  <sheetViews>
    <sheetView zoomScale="90" zoomScaleNormal="90" workbookViewId="0">
      <selection activeCell="M6" sqref="M6"/>
    </sheetView>
  </sheetViews>
  <sheetFormatPr baseColWidth="10" defaultRowHeight="14.5" x14ac:dyDescent="0.35"/>
  <cols>
    <col min="2" max="2" width="16.81640625" bestFit="1" customWidth="1"/>
    <col min="3" max="3" width="24.6328125" style="10" bestFit="1" customWidth="1"/>
    <col min="4" max="15" width="12" bestFit="1" customWidth="1"/>
  </cols>
  <sheetData>
    <row r="3" spans="2:3" x14ac:dyDescent="0.35">
      <c r="B3" s="2" t="s">
        <v>1184</v>
      </c>
      <c r="C3" t="s">
        <v>1198</v>
      </c>
    </row>
    <row r="4" spans="2:3" x14ac:dyDescent="0.35">
      <c r="B4" s="3">
        <v>2020</v>
      </c>
      <c r="C4"/>
    </row>
    <row r="5" spans="2:3" x14ac:dyDescent="0.35">
      <c r="B5" s="31" t="s">
        <v>1186</v>
      </c>
      <c r="C5">
        <v>33290486.390000001</v>
      </c>
    </row>
    <row r="6" spans="2:3" x14ac:dyDescent="0.35">
      <c r="B6" s="31" t="s">
        <v>1187</v>
      </c>
      <c r="C6">
        <v>26481452.190000001</v>
      </c>
    </row>
    <row r="7" spans="2:3" x14ac:dyDescent="0.35">
      <c r="B7" s="31" t="s">
        <v>1188</v>
      </c>
      <c r="C7">
        <v>28177789.440000001</v>
      </c>
    </row>
    <row r="8" spans="2:3" x14ac:dyDescent="0.35">
      <c r="B8" s="31" t="s">
        <v>1189</v>
      </c>
      <c r="C8">
        <v>40947224.959999993</v>
      </c>
    </row>
    <row r="9" spans="2:3" x14ac:dyDescent="0.35">
      <c r="B9" s="31" t="s">
        <v>1190</v>
      </c>
      <c r="C9">
        <v>34595467.339999989</v>
      </c>
    </row>
    <row r="10" spans="2:3" x14ac:dyDescent="0.35">
      <c r="B10" s="31" t="s">
        <v>1191</v>
      </c>
      <c r="C10">
        <v>25414700.660000004</v>
      </c>
    </row>
    <row r="11" spans="2:3" x14ac:dyDescent="0.35">
      <c r="B11" s="31" t="s">
        <v>1192</v>
      </c>
      <c r="C11">
        <v>32864607.400000002</v>
      </c>
    </row>
    <row r="12" spans="2:3" x14ac:dyDescent="0.35">
      <c r="B12" s="31" t="s">
        <v>1193</v>
      </c>
      <c r="C12">
        <v>35640817.719999991</v>
      </c>
    </row>
    <row r="13" spans="2:3" x14ac:dyDescent="0.35">
      <c r="B13" s="31" t="s">
        <v>1194</v>
      </c>
      <c r="C13">
        <v>39490187.540000007</v>
      </c>
    </row>
    <row r="14" spans="2:3" x14ac:dyDescent="0.35">
      <c r="B14" s="31" t="s">
        <v>1195</v>
      </c>
      <c r="C14">
        <v>47723285.520000011</v>
      </c>
    </row>
    <row r="15" spans="2:3" x14ac:dyDescent="0.35">
      <c r="B15" s="31" t="s">
        <v>1196</v>
      </c>
      <c r="C15">
        <v>51239773.009999998</v>
      </c>
    </row>
    <row r="16" spans="2:3" x14ac:dyDescent="0.35">
      <c r="B16" s="31" t="s">
        <v>1197</v>
      </c>
      <c r="C16">
        <v>41425837.770000011</v>
      </c>
    </row>
    <row r="17" spans="2:3" x14ac:dyDescent="0.35">
      <c r="B17" s="3">
        <v>2021</v>
      </c>
      <c r="C17"/>
    </row>
    <row r="18" spans="2:3" x14ac:dyDescent="0.35">
      <c r="B18" s="31" t="s">
        <v>1186</v>
      </c>
      <c r="C18">
        <v>43318282.250000015</v>
      </c>
    </row>
    <row r="19" spans="2:3" x14ac:dyDescent="0.35">
      <c r="B19" s="31" t="s">
        <v>1187</v>
      </c>
      <c r="C19">
        <v>50479085.849999994</v>
      </c>
    </row>
    <row r="20" spans="2:3" x14ac:dyDescent="0.35">
      <c r="B20" s="31" t="s">
        <v>1188</v>
      </c>
      <c r="C20">
        <v>58233791.359999992</v>
      </c>
    </row>
    <row r="21" spans="2:3" x14ac:dyDescent="0.35">
      <c r="B21" s="31" t="s">
        <v>1189</v>
      </c>
      <c r="C21">
        <v>43491506.450000003</v>
      </c>
    </row>
    <row r="22" spans="2:3" x14ac:dyDescent="0.35">
      <c r="B22" s="31" t="s">
        <v>1190</v>
      </c>
      <c r="C22">
        <v>43000119.609999999</v>
      </c>
    </row>
    <row r="23" spans="2:3" x14ac:dyDescent="0.35">
      <c r="B23" s="31" t="s">
        <v>1191</v>
      </c>
      <c r="C23">
        <v>41074863.730000004</v>
      </c>
    </row>
    <row r="24" spans="2:3" x14ac:dyDescent="0.35">
      <c r="B24" s="31" t="s">
        <v>1192</v>
      </c>
      <c r="C24">
        <v>35408237.779999994</v>
      </c>
    </row>
    <row r="25" spans="2:3" x14ac:dyDescent="0.35">
      <c r="B25" s="31" t="s">
        <v>1193</v>
      </c>
      <c r="C25">
        <v>60958452.010000005</v>
      </c>
    </row>
    <row r="26" spans="2:3" x14ac:dyDescent="0.35">
      <c r="B26" s="31" t="s">
        <v>1194</v>
      </c>
      <c r="C26">
        <v>18737580.57</v>
      </c>
    </row>
    <row r="27" spans="2:3" x14ac:dyDescent="0.35">
      <c r="B27" s="31" t="s">
        <v>1195</v>
      </c>
      <c r="C27">
        <v>25326747.34</v>
      </c>
    </row>
    <row r="28" spans="2:3" x14ac:dyDescent="0.35">
      <c r="B28" s="31" t="s">
        <v>1196</v>
      </c>
      <c r="C28">
        <v>37902612.570000008</v>
      </c>
    </row>
    <row r="29" spans="2:3" x14ac:dyDescent="0.35">
      <c r="B29" s="31" t="s">
        <v>1197</v>
      </c>
      <c r="C29">
        <v>25304116.32</v>
      </c>
    </row>
    <row r="30" spans="2:3" x14ac:dyDescent="0.35">
      <c r="B30" s="3">
        <v>2022</v>
      </c>
      <c r="C30"/>
    </row>
    <row r="31" spans="2:3" x14ac:dyDescent="0.35">
      <c r="B31" s="31" t="s">
        <v>1186</v>
      </c>
      <c r="C31">
        <v>34748526.310000002</v>
      </c>
    </row>
    <row r="32" spans="2:3" x14ac:dyDescent="0.35">
      <c r="B32" s="31" t="s">
        <v>1187</v>
      </c>
      <c r="C32">
        <v>39966582.43</v>
      </c>
    </row>
    <row r="33" spans="2:3" x14ac:dyDescent="0.35">
      <c r="B33" s="31" t="s">
        <v>1188</v>
      </c>
      <c r="C33">
        <v>34693677.109999999</v>
      </c>
    </row>
    <row r="34" spans="2:3" x14ac:dyDescent="0.35">
      <c r="B34" s="31" t="s">
        <v>1189</v>
      </c>
      <c r="C34">
        <v>39439042.680000007</v>
      </c>
    </row>
    <row r="35" spans="2:3" x14ac:dyDescent="0.35">
      <c r="B35" s="31" t="s">
        <v>1190</v>
      </c>
      <c r="C35">
        <v>30626945.070000004</v>
      </c>
    </row>
    <row r="36" spans="2:3" x14ac:dyDescent="0.35">
      <c r="B36" s="31" t="s">
        <v>1191</v>
      </c>
      <c r="C36">
        <v>37496884.129999995</v>
      </c>
    </row>
    <row r="37" spans="2:3" x14ac:dyDescent="0.35">
      <c r="B37" s="31" t="s">
        <v>1192</v>
      </c>
      <c r="C37">
        <v>37376630.829999998</v>
      </c>
    </row>
    <row r="38" spans="2:3" x14ac:dyDescent="0.35">
      <c r="B38" s="31" t="s">
        <v>1193</v>
      </c>
      <c r="C38">
        <v>59935189.259999998</v>
      </c>
    </row>
    <row r="39" spans="2:3" x14ac:dyDescent="0.35">
      <c r="B39" s="31" t="s">
        <v>1194</v>
      </c>
      <c r="C39">
        <v>29304236.289999995</v>
      </c>
    </row>
    <row r="40" spans="2:3" x14ac:dyDescent="0.35">
      <c r="B40" s="31" t="s">
        <v>1195</v>
      </c>
      <c r="C40">
        <v>16509745.699999997</v>
      </c>
    </row>
    <row r="41" spans="2:3" x14ac:dyDescent="0.35">
      <c r="B41" s="31" t="s">
        <v>1196</v>
      </c>
      <c r="C41">
        <v>8477411.2200000007</v>
      </c>
    </row>
    <row r="42" spans="2:3" x14ac:dyDescent="0.35">
      <c r="B42" s="3" t="s">
        <v>1185</v>
      </c>
      <c r="C42">
        <v>483235395.83999985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0CBC-E991-4A46-B62B-CAB8B6D2F4B0}">
  <dimension ref="B3:C16"/>
  <sheetViews>
    <sheetView workbookViewId="0">
      <selection activeCell="M10" sqref="M10"/>
    </sheetView>
  </sheetViews>
  <sheetFormatPr baseColWidth="10" defaultRowHeight="14.5" x14ac:dyDescent="0.35"/>
  <cols>
    <col min="2" max="2" width="16.54296875" bestFit="1" customWidth="1"/>
    <col min="3" max="3" width="24.36328125" style="10" bestFit="1" customWidth="1"/>
  </cols>
  <sheetData>
    <row r="3" spans="2:3" x14ac:dyDescent="0.35">
      <c r="B3" s="2" t="s">
        <v>1184</v>
      </c>
      <c r="C3" t="s">
        <v>1198</v>
      </c>
    </row>
    <row r="4" spans="2:3" x14ac:dyDescent="0.35">
      <c r="B4" s="3" t="s">
        <v>977</v>
      </c>
      <c r="C4">
        <v>110214331.92</v>
      </c>
    </row>
    <row r="5" spans="2:3" x14ac:dyDescent="0.35">
      <c r="B5" s="3" t="s">
        <v>979</v>
      </c>
      <c r="C5">
        <v>21667947.600000001</v>
      </c>
    </row>
    <row r="6" spans="2:3" x14ac:dyDescent="0.35">
      <c r="B6" s="3" t="s">
        <v>971</v>
      </c>
      <c r="C6">
        <v>178522753.49999997</v>
      </c>
    </row>
    <row r="7" spans="2:3" x14ac:dyDescent="0.35">
      <c r="B7" s="3" t="s">
        <v>973</v>
      </c>
      <c r="C7">
        <v>93401170.499999985</v>
      </c>
    </row>
    <row r="8" spans="2:3" x14ac:dyDescent="0.35">
      <c r="B8" s="3" t="s">
        <v>981</v>
      </c>
      <c r="C8">
        <v>162215190.39999998</v>
      </c>
    </row>
    <row r="9" spans="2:3" x14ac:dyDescent="0.35">
      <c r="B9" s="3" t="s">
        <v>983</v>
      </c>
      <c r="C9">
        <v>37201861.399999991</v>
      </c>
    </row>
    <row r="10" spans="2:3" x14ac:dyDescent="0.35">
      <c r="B10" s="3" t="s">
        <v>991</v>
      </c>
      <c r="C10">
        <v>268795569.02000004</v>
      </c>
    </row>
    <row r="11" spans="2:3" x14ac:dyDescent="0.35">
      <c r="B11" s="3" t="s">
        <v>975</v>
      </c>
      <c r="C11">
        <v>3820392.42</v>
      </c>
    </row>
    <row r="12" spans="2:3" x14ac:dyDescent="0.35">
      <c r="B12" s="3" t="s">
        <v>985</v>
      </c>
      <c r="C12">
        <v>237252083.25</v>
      </c>
    </row>
    <row r="13" spans="2:3" x14ac:dyDescent="0.35">
      <c r="B13" s="3" t="s">
        <v>989</v>
      </c>
      <c r="C13">
        <v>41236152.32</v>
      </c>
    </row>
    <row r="14" spans="2:3" x14ac:dyDescent="0.35">
      <c r="B14" s="3" t="s">
        <v>969</v>
      </c>
      <c r="C14">
        <v>71156445.899999991</v>
      </c>
    </row>
    <row r="15" spans="2:3" x14ac:dyDescent="0.35">
      <c r="B15" s="3" t="s">
        <v>987</v>
      </c>
      <c r="C15">
        <v>63617998.580000006</v>
      </c>
    </row>
    <row r="16" spans="2:3" x14ac:dyDescent="0.35">
      <c r="B16" s="3" t="s">
        <v>1185</v>
      </c>
      <c r="C16">
        <v>483235395.83999985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5BEE-23D7-4B89-8418-8AB1C1D68B03}">
  <dimension ref="A1:L73"/>
  <sheetViews>
    <sheetView showGridLines="0" tabSelected="1" zoomScale="80" zoomScaleNormal="80" workbookViewId="0">
      <selection activeCell="G16" sqref="G16"/>
    </sheetView>
  </sheetViews>
  <sheetFormatPr baseColWidth="10" defaultRowHeight="14.5" x14ac:dyDescent="0.35"/>
  <cols>
    <col min="7" max="7" width="17" bestFit="1" customWidth="1"/>
    <col min="8" max="8" width="15.54296875" bestFit="1" customWidth="1"/>
    <col min="9" max="9" width="17" bestFit="1" customWidth="1"/>
    <col min="10" max="10" width="9.6328125" bestFit="1" customWidth="1"/>
    <col min="11" max="11" width="16.81640625" bestFit="1" customWidth="1"/>
    <col min="12" max="12" width="25.81640625" customWidth="1"/>
  </cols>
  <sheetData>
    <row r="1" spans="1:12" s="30" customFormat="1" ht="16" x14ac:dyDescent="0.4">
      <c r="A1" s="45" t="s">
        <v>1240</v>
      </c>
      <c r="B1" s="45"/>
      <c r="C1" s="45"/>
      <c r="D1" s="45"/>
      <c r="E1" s="45"/>
      <c r="F1" s="45"/>
    </row>
    <row r="5" spans="1:12" ht="29" x14ac:dyDescent="0.35">
      <c r="I5" s="37" t="s">
        <v>1233</v>
      </c>
      <c r="J5" s="37" t="s">
        <v>1203</v>
      </c>
      <c r="K5" s="37" t="s">
        <v>1218</v>
      </c>
      <c r="L5" s="38" t="s">
        <v>1253</v>
      </c>
    </row>
    <row r="6" spans="1:12" x14ac:dyDescent="0.35">
      <c r="I6" s="6">
        <v>1289101896.8099992</v>
      </c>
      <c r="J6" s="32">
        <v>0.29635002506423774</v>
      </c>
      <c r="K6" s="18">
        <v>382025379.42999971</v>
      </c>
      <c r="L6" s="39">
        <f>Hoja7!D3</f>
        <v>-0.23727675124188097</v>
      </c>
    </row>
    <row r="55" spans="1:4" x14ac:dyDescent="0.35">
      <c r="A55" s="44" t="s">
        <v>1242</v>
      </c>
      <c r="B55" s="44"/>
      <c r="C55" s="44"/>
      <c r="D55" s="44"/>
    </row>
    <row r="57" spans="1:4" x14ac:dyDescent="0.35">
      <c r="A57" s="30" t="s">
        <v>1243</v>
      </c>
    </row>
    <row r="58" spans="1:4" x14ac:dyDescent="0.35">
      <c r="A58" t="s">
        <v>1244</v>
      </c>
    </row>
    <row r="60" spans="1:4" x14ac:dyDescent="0.35">
      <c r="A60" s="30" t="s">
        <v>1245</v>
      </c>
    </row>
    <row r="61" spans="1:4" x14ac:dyDescent="0.35">
      <c r="A61" t="s">
        <v>1246</v>
      </c>
    </row>
    <row r="62" spans="1:4" x14ac:dyDescent="0.35">
      <c r="A62" t="s">
        <v>1254</v>
      </c>
    </row>
    <row r="64" spans="1:4" x14ac:dyDescent="0.35">
      <c r="A64" s="30" t="s">
        <v>1247</v>
      </c>
    </row>
    <row r="65" spans="1:3" x14ac:dyDescent="0.35">
      <c r="A65" t="s">
        <v>1248</v>
      </c>
    </row>
    <row r="67" spans="1:3" x14ac:dyDescent="0.35">
      <c r="A67" s="44" t="s">
        <v>1241</v>
      </c>
      <c r="B67" s="44"/>
      <c r="C67" s="44"/>
    </row>
    <row r="69" spans="1:3" s="30" customFormat="1" x14ac:dyDescent="0.35">
      <c r="A69" s="30" t="s">
        <v>1249</v>
      </c>
    </row>
    <row r="70" spans="1:3" x14ac:dyDescent="0.35">
      <c r="A70" t="s">
        <v>1250</v>
      </c>
    </row>
    <row r="72" spans="1:3" s="30" customFormat="1" x14ac:dyDescent="0.35">
      <c r="A72" s="30" t="s">
        <v>1251</v>
      </c>
    </row>
    <row r="73" spans="1:3" x14ac:dyDescent="0.35">
      <c r="A73" t="s">
        <v>1252</v>
      </c>
    </row>
  </sheetData>
  <mergeCells count="3">
    <mergeCell ref="A1:F1"/>
    <mergeCell ref="A55:D55"/>
    <mergeCell ref="A67:C67"/>
  </mergeCells>
  <conditionalFormatting sqref="L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3877-5AC7-4FB7-B7FB-FF8F23CBCB01}">
  <dimension ref="A1:D30"/>
  <sheetViews>
    <sheetView showGridLines="0" topLeftCell="A20" workbookViewId="0">
      <selection activeCell="D25" sqref="D25"/>
    </sheetView>
  </sheetViews>
  <sheetFormatPr baseColWidth="10" defaultRowHeight="14.5" x14ac:dyDescent="0.35"/>
  <cols>
    <col min="1" max="1" width="101.7265625" customWidth="1"/>
  </cols>
  <sheetData>
    <row r="1" spans="1:4" x14ac:dyDescent="0.35">
      <c r="A1" s="44" t="s">
        <v>1255</v>
      </c>
      <c r="B1" s="44"/>
      <c r="C1" s="44"/>
    </row>
    <row r="3" spans="1:4" x14ac:dyDescent="0.35">
      <c r="A3" t="s">
        <v>1256</v>
      </c>
    </row>
    <row r="5" spans="1:4" x14ac:dyDescent="0.35">
      <c r="A5" t="s">
        <v>1257</v>
      </c>
    </row>
    <row r="7" spans="1:4" x14ac:dyDescent="0.35">
      <c r="A7" s="41" t="s">
        <v>1258</v>
      </c>
      <c r="B7" s="41"/>
      <c r="C7" s="41"/>
      <c r="D7" s="41"/>
    </row>
    <row r="8" spans="1:4" x14ac:dyDescent="0.35">
      <c r="A8" s="40" t="s">
        <v>1249</v>
      </c>
    </row>
    <row r="9" spans="1:4" ht="29" x14ac:dyDescent="0.35">
      <c r="A9" s="43" t="s">
        <v>1259</v>
      </c>
    </row>
    <row r="10" spans="1:4" s="42" customFormat="1" x14ac:dyDescent="0.35">
      <c r="A10" s="42" t="s">
        <v>1260</v>
      </c>
    </row>
    <row r="12" spans="1:4" s="41" customFormat="1" x14ac:dyDescent="0.35">
      <c r="A12" s="41" t="s">
        <v>1261</v>
      </c>
    </row>
    <row r="13" spans="1:4" x14ac:dyDescent="0.35">
      <c r="A13" s="40" t="s">
        <v>1249</v>
      </c>
    </row>
    <row r="14" spans="1:4" s="42" customFormat="1" ht="29" x14ac:dyDescent="0.35">
      <c r="A14" s="42" t="s">
        <v>1262</v>
      </c>
    </row>
    <row r="16" spans="1:4" x14ac:dyDescent="0.35">
      <c r="A16" s="40" t="s">
        <v>1263</v>
      </c>
    </row>
    <row r="17" spans="1:1" s="42" customFormat="1" x14ac:dyDescent="0.35">
      <c r="A17" s="42" t="s">
        <v>1264</v>
      </c>
    </row>
    <row r="18" spans="1:1" s="42" customFormat="1" x14ac:dyDescent="0.35">
      <c r="A18" s="42" t="s">
        <v>1265</v>
      </c>
    </row>
    <row r="19" spans="1:1" s="42" customFormat="1" x14ac:dyDescent="0.35">
      <c r="A19" s="42" t="s">
        <v>1266</v>
      </c>
    </row>
    <row r="20" spans="1:1" s="42" customFormat="1" ht="43.5" x14ac:dyDescent="0.35">
      <c r="A20" s="42" t="s">
        <v>1267</v>
      </c>
    </row>
    <row r="22" spans="1:1" s="41" customFormat="1" x14ac:dyDescent="0.35">
      <c r="A22" s="41" t="s">
        <v>1268</v>
      </c>
    </row>
    <row r="23" spans="1:1" s="40" customFormat="1" x14ac:dyDescent="0.35">
      <c r="A23" s="40" t="s">
        <v>1249</v>
      </c>
    </row>
    <row r="24" spans="1:1" s="42" customFormat="1" ht="29" x14ac:dyDescent="0.35">
      <c r="A24" s="42" t="s">
        <v>1269</v>
      </c>
    </row>
    <row r="25" spans="1:1" s="42" customFormat="1" x14ac:dyDescent="0.35"/>
    <row r="26" spans="1:1" s="42" customFormat="1" ht="29" x14ac:dyDescent="0.35">
      <c r="A26" s="42" t="s">
        <v>1272</v>
      </c>
    </row>
    <row r="29" spans="1:1" s="41" customFormat="1" ht="14" customHeight="1" x14ac:dyDescent="0.35">
      <c r="A29" s="41" t="s">
        <v>1270</v>
      </c>
    </row>
    <row r="30" spans="1:1" ht="29" x14ac:dyDescent="0.35">
      <c r="A30" s="42" t="s">
        <v>1271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3B2B-AC85-42D6-AFC4-52F01EC7DDA8}">
  <dimension ref="A1:B15"/>
  <sheetViews>
    <sheetView workbookViewId="0">
      <selection activeCell="E11" sqref="E11"/>
    </sheetView>
  </sheetViews>
  <sheetFormatPr baseColWidth="10" defaultRowHeight="14.5" x14ac:dyDescent="0.35"/>
  <cols>
    <col min="1" max="1" width="21.90625" customWidth="1"/>
    <col min="2" max="2" width="21.36328125" style="13" bestFit="1" customWidth="1"/>
  </cols>
  <sheetData>
    <row r="1" spans="1:2" x14ac:dyDescent="0.35">
      <c r="A1" s="9" t="s">
        <v>9</v>
      </c>
      <c r="B1" s="11"/>
    </row>
    <row r="2" spans="1:2" x14ac:dyDescent="0.35">
      <c r="B2" s="12"/>
    </row>
    <row r="3" spans="1:2" x14ac:dyDescent="0.35">
      <c r="A3" t="s">
        <v>19</v>
      </c>
      <c r="B3" s="14">
        <v>1289101.8968099991</v>
      </c>
    </row>
    <row r="4" spans="1:2" x14ac:dyDescent="0.35">
      <c r="A4" t="s">
        <v>1204</v>
      </c>
      <c r="B4" s="14">
        <v>44628.808766034075</v>
      </c>
    </row>
    <row r="5" spans="1:2" x14ac:dyDescent="0.35">
      <c r="A5" t="s">
        <v>1205</v>
      </c>
      <c r="B5" s="14">
        <v>744494.1399999999</v>
      </c>
    </row>
    <row r="6" spans="1:2" x14ac:dyDescent="0.35">
      <c r="A6" t="s">
        <v>1206</v>
      </c>
      <c r="B6" s="14">
        <v>1582440.3</v>
      </c>
    </row>
    <row r="7" spans="1:2" x14ac:dyDescent="0.35">
      <c r="A7" t="s">
        <v>1207</v>
      </c>
      <c r="B7" s="14">
        <v>1411286.8496075629</v>
      </c>
    </row>
    <row r="8" spans="1:2" x14ac:dyDescent="0.35">
      <c r="A8" t="s">
        <v>1208</v>
      </c>
      <c r="B8" s="14">
        <v>1991730571875.24</v>
      </c>
    </row>
    <row r="9" spans="1:2" x14ac:dyDescent="0.35">
      <c r="A9" t="s">
        <v>1209</v>
      </c>
      <c r="B9" s="14">
        <v>2.1792517700301102</v>
      </c>
    </row>
    <row r="10" spans="1:2" x14ac:dyDescent="0.35">
      <c r="A10" t="s">
        <v>1210</v>
      </c>
      <c r="B10" s="14">
        <v>1.6234972199673914</v>
      </c>
    </row>
    <row r="11" spans="1:2" x14ac:dyDescent="0.35">
      <c r="A11" t="s">
        <v>1211</v>
      </c>
      <c r="B11" s="14">
        <v>6618498.6299999999</v>
      </c>
    </row>
    <row r="12" spans="1:2" x14ac:dyDescent="0.35">
      <c r="A12" t="s">
        <v>1212</v>
      </c>
      <c r="B12" s="14">
        <v>47.45</v>
      </c>
    </row>
    <row r="13" spans="1:2" x14ac:dyDescent="0.35">
      <c r="A13" t="s">
        <v>1213</v>
      </c>
      <c r="B13" s="14">
        <v>6618546.0800000001</v>
      </c>
    </row>
    <row r="14" spans="1:2" x14ac:dyDescent="0.35">
      <c r="A14" t="s">
        <v>1214</v>
      </c>
      <c r="B14" s="14">
        <v>1289101896.8099992</v>
      </c>
    </row>
    <row r="15" spans="1:2" ht="15" thickBot="1" x14ac:dyDescent="0.4">
      <c r="A15" s="8" t="s">
        <v>1215</v>
      </c>
      <c r="B15" s="15">
        <v>1000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120D-B429-4473-8E9C-8A07D06D53CA}">
  <dimension ref="A1:A1001"/>
  <sheetViews>
    <sheetView workbookViewId="0">
      <selection activeCell="B7" sqref="B7"/>
    </sheetView>
  </sheetViews>
  <sheetFormatPr baseColWidth="10" defaultRowHeight="14.5" x14ac:dyDescent="0.35"/>
  <cols>
    <col min="1" max="1" width="18.90625" style="10" bestFit="1" customWidth="1"/>
  </cols>
  <sheetData>
    <row r="1" spans="1:1" x14ac:dyDescent="0.35">
      <c r="A1" s="10" t="s">
        <v>9</v>
      </c>
    </row>
    <row r="2" spans="1:1" x14ac:dyDescent="0.35">
      <c r="A2" s="10">
        <v>843767.4</v>
      </c>
    </row>
    <row r="3" spans="1:1" x14ac:dyDescent="0.35">
      <c r="A3" s="10">
        <v>419358.66</v>
      </c>
    </row>
    <row r="4" spans="1:1" x14ac:dyDescent="0.35">
      <c r="A4" s="10">
        <v>1408016.5</v>
      </c>
    </row>
    <row r="5" spans="1:1" x14ac:dyDescent="0.35">
      <c r="A5" s="10">
        <v>91489.98</v>
      </c>
    </row>
    <row r="6" spans="1:1" x14ac:dyDescent="0.35">
      <c r="A6" s="10">
        <v>927432.24</v>
      </c>
    </row>
    <row r="7" spans="1:1" x14ac:dyDescent="0.35">
      <c r="A7" s="10">
        <v>195019.5</v>
      </c>
    </row>
    <row r="8" spans="1:1" x14ac:dyDescent="0.35">
      <c r="A8" s="10">
        <v>618864.4800000001</v>
      </c>
    </row>
    <row r="9" spans="1:1" x14ac:dyDescent="0.35">
      <c r="A9" s="10">
        <v>3637066.8</v>
      </c>
    </row>
    <row r="10" spans="1:1" x14ac:dyDescent="0.35">
      <c r="A10" s="10">
        <v>717507.67</v>
      </c>
    </row>
    <row r="11" spans="1:1" x14ac:dyDescent="0.35">
      <c r="A11" s="10">
        <v>6086859.8700000001</v>
      </c>
    </row>
    <row r="12" spans="1:1" x14ac:dyDescent="0.35">
      <c r="A12" s="10">
        <v>422335.2</v>
      </c>
    </row>
    <row r="13" spans="1:1" x14ac:dyDescent="0.35">
      <c r="A13" s="10">
        <v>1008401.2200000001</v>
      </c>
    </row>
    <row r="14" spans="1:1" x14ac:dyDescent="0.35">
      <c r="A14" s="10">
        <v>298033.45</v>
      </c>
    </row>
    <row r="15" spans="1:1" x14ac:dyDescent="0.35">
      <c r="A15" s="10">
        <v>310893.08</v>
      </c>
    </row>
    <row r="16" spans="1:1" x14ac:dyDescent="0.35">
      <c r="A16" s="10">
        <v>26945.040000000001</v>
      </c>
    </row>
    <row r="17" spans="1:1" x14ac:dyDescent="0.35">
      <c r="A17" s="10">
        <v>816400.97000000009</v>
      </c>
    </row>
    <row r="18" spans="1:1" x14ac:dyDescent="0.35">
      <c r="A18" s="10">
        <v>634377.19999999995</v>
      </c>
    </row>
    <row r="19" spans="1:1" x14ac:dyDescent="0.35">
      <c r="A19" s="10">
        <v>1134584.8800000001</v>
      </c>
    </row>
    <row r="20" spans="1:1" x14ac:dyDescent="0.35">
      <c r="A20" s="10">
        <v>3343963.35</v>
      </c>
    </row>
    <row r="21" spans="1:1" x14ac:dyDescent="0.35">
      <c r="A21" s="10">
        <v>2456364.12</v>
      </c>
    </row>
    <row r="22" spans="1:1" x14ac:dyDescent="0.35">
      <c r="A22" s="10">
        <v>784771.46000000008</v>
      </c>
    </row>
    <row r="23" spans="1:1" x14ac:dyDescent="0.35">
      <c r="A23" s="10">
        <v>398726.39999999997</v>
      </c>
    </row>
    <row r="24" spans="1:1" x14ac:dyDescent="0.35">
      <c r="A24" s="10">
        <v>460639.02</v>
      </c>
    </row>
    <row r="25" spans="1:1" x14ac:dyDescent="0.35">
      <c r="A25" s="10">
        <v>357345.6</v>
      </c>
    </row>
    <row r="26" spans="1:1" x14ac:dyDescent="0.35">
      <c r="A26" s="10">
        <v>931600.82000000007</v>
      </c>
    </row>
    <row r="27" spans="1:1" x14ac:dyDescent="0.35">
      <c r="A27" s="10">
        <v>634306.53</v>
      </c>
    </row>
    <row r="28" spans="1:1" x14ac:dyDescent="0.35">
      <c r="A28" s="10">
        <v>202386.56</v>
      </c>
    </row>
    <row r="29" spans="1:1" x14ac:dyDescent="0.35">
      <c r="A29" s="10">
        <v>414936.16000000003</v>
      </c>
    </row>
    <row r="30" spans="1:1" x14ac:dyDescent="0.35">
      <c r="A30" s="10">
        <v>4075110.46</v>
      </c>
    </row>
    <row r="31" spans="1:1" x14ac:dyDescent="0.35">
      <c r="A31" s="10">
        <v>1439699.5999999999</v>
      </c>
    </row>
    <row r="32" spans="1:1" x14ac:dyDescent="0.35">
      <c r="A32" s="10">
        <v>1070408.8800000001</v>
      </c>
    </row>
    <row r="33" spans="1:1" x14ac:dyDescent="0.35">
      <c r="A33" s="10">
        <v>54186.990000000005</v>
      </c>
    </row>
    <row r="34" spans="1:1" x14ac:dyDescent="0.35">
      <c r="A34" s="10">
        <v>553721.76</v>
      </c>
    </row>
    <row r="35" spans="1:1" x14ac:dyDescent="0.35">
      <c r="A35" s="10">
        <v>26329.26</v>
      </c>
    </row>
    <row r="36" spans="1:1" x14ac:dyDescent="0.35">
      <c r="A36" s="10">
        <v>395484.32</v>
      </c>
    </row>
    <row r="37" spans="1:1" x14ac:dyDescent="0.35">
      <c r="A37" s="10">
        <v>3874215.8699999996</v>
      </c>
    </row>
    <row r="38" spans="1:1" x14ac:dyDescent="0.35">
      <c r="A38" s="10">
        <v>392316.60000000003</v>
      </c>
    </row>
    <row r="39" spans="1:1" x14ac:dyDescent="0.35">
      <c r="A39" s="10">
        <v>341462</v>
      </c>
    </row>
    <row r="40" spans="1:1" x14ac:dyDescent="0.35">
      <c r="A40" s="10">
        <v>1105688.6200000001</v>
      </c>
    </row>
    <row r="41" spans="1:1" x14ac:dyDescent="0.35">
      <c r="A41" s="10">
        <v>3119484.36</v>
      </c>
    </row>
    <row r="42" spans="1:1" x14ac:dyDescent="0.35">
      <c r="A42" s="10">
        <v>9432.6299999999992</v>
      </c>
    </row>
    <row r="43" spans="1:1" x14ac:dyDescent="0.35">
      <c r="A43" s="10">
        <v>559513.59999999998</v>
      </c>
    </row>
    <row r="44" spans="1:1" x14ac:dyDescent="0.35">
      <c r="A44" s="10">
        <v>27383.55</v>
      </c>
    </row>
    <row r="45" spans="1:1" x14ac:dyDescent="0.35">
      <c r="A45" s="10">
        <v>1582440.3</v>
      </c>
    </row>
    <row r="46" spans="1:1" x14ac:dyDescent="0.35">
      <c r="A46" s="10">
        <v>1771282.7</v>
      </c>
    </row>
    <row r="47" spans="1:1" x14ac:dyDescent="0.35">
      <c r="A47" s="10">
        <v>695767.49</v>
      </c>
    </row>
    <row r="48" spans="1:1" x14ac:dyDescent="0.35">
      <c r="A48" s="10">
        <v>678082.4</v>
      </c>
    </row>
    <row r="49" spans="1:1" x14ac:dyDescent="0.35">
      <c r="A49" s="10">
        <v>369303.35000000003</v>
      </c>
    </row>
    <row r="50" spans="1:1" x14ac:dyDescent="0.35">
      <c r="A50" s="10">
        <v>2691236.31</v>
      </c>
    </row>
    <row r="51" spans="1:1" x14ac:dyDescent="0.35">
      <c r="A51" s="10">
        <v>781789.12</v>
      </c>
    </row>
    <row r="52" spans="1:1" x14ac:dyDescent="0.35">
      <c r="A52" s="10">
        <v>472904.3</v>
      </c>
    </row>
    <row r="53" spans="1:1" x14ac:dyDescent="0.35">
      <c r="A53" s="10">
        <v>930368.34</v>
      </c>
    </row>
    <row r="54" spans="1:1" x14ac:dyDescent="0.35">
      <c r="A54" s="10">
        <v>456848.60000000003</v>
      </c>
    </row>
    <row r="55" spans="1:1" x14ac:dyDescent="0.35">
      <c r="A55" s="10">
        <v>2680267.17</v>
      </c>
    </row>
    <row r="56" spans="1:1" x14ac:dyDescent="0.35">
      <c r="A56" s="10">
        <v>1006165.86</v>
      </c>
    </row>
    <row r="57" spans="1:1" x14ac:dyDescent="0.35">
      <c r="A57" s="10">
        <v>119099.5</v>
      </c>
    </row>
    <row r="58" spans="1:1" x14ac:dyDescent="0.35">
      <c r="A58" s="10">
        <v>565554.26</v>
      </c>
    </row>
    <row r="59" spans="1:1" x14ac:dyDescent="0.35">
      <c r="A59" s="10">
        <v>292916.8</v>
      </c>
    </row>
    <row r="60" spans="1:1" x14ac:dyDescent="0.35">
      <c r="A60" s="10">
        <v>460287.36</v>
      </c>
    </row>
    <row r="61" spans="1:1" x14ac:dyDescent="0.35">
      <c r="A61" s="10">
        <v>640497.52</v>
      </c>
    </row>
    <row r="62" spans="1:1" x14ac:dyDescent="0.35">
      <c r="A62" s="10">
        <v>1669666.8</v>
      </c>
    </row>
    <row r="63" spans="1:1" x14ac:dyDescent="0.35">
      <c r="A63" s="10">
        <v>627604.67000000004</v>
      </c>
    </row>
    <row r="64" spans="1:1" x14ac:dyDescent="0.35">
      <c r="A64" s="10">
        <v>438385.12</v>
      </c>
    </row>
    <row r="65" spans="1:1" x14ac:dyDescent="0.35">
      <c r="A65" s="10">
        <v>110172.04000000001</v>
      </c>
    </row>
    <row r="66" spans="1:1" x14ac:dyDescent="0.35">
      <c r="A66" s="10">
        <v>2272299.54</v>
      </c>
    </row>
    <row r="67" spans="1:1" x14ac:dyDescent="0.35">
      <c r="A67" s="10">
        <v>66399.86</v>
      </c>
    </row>
    <row r="68" spans="1:1" x14ac:dyDescent="0.35">
      <c r="A68" s="10">
        <v>10953.42</v>
      </c>
    </row>
    <row r="69" spans="1:1" x14ac:dyDescent="0.35">
      <c r="A69" s="10">
        <v>1107915.2</v>
      </c>
    </row>
    <row r="70" spans="1:1" x14ac:dyDescent="0.35">
      <c r="A70" s="10">
        <v>301093.32</v>
      </c>
    </row>
    <row r="71" spans="1:1" x14ac:dyDescent="0.35">
      <c r="A71" s="10">
        <v>407914.43</v>
      </c>
    </row>
    <row r="72" spans="1:1" x14ac:dyDescent="0.35">
      <c r="A72" s="10">
        <v>721731.6</v>
      </c>
    </row>
    <row r="73" spans="1:1" x14ac:dyDescent="0.35">
      <c r="A73" s="10">
        <v>2868008.2199999997</v>
      </c>
    </row>
    <row r="74" spans="1:1" x14ac:dyDescent="0.35">
      <c r="A74" s="10">
        <v>2689786.75</v>
      </c>
    </row>
    <row r="75" spans="1:1" x14ac:dyDescent="0.35">
      <c r="A75" s="10">
        <v>4346175.54</v>
      </c>
    </row>
    <row r="76" spans="1:1" x14ac:dyDescent="0.35">
      <c r="A76" s="10">
        <v>53041.05</v>
      </c>
    </row>
    <row r="77" spans="1:1" x14ac:dyDescent="0.35">
      <c r="A77" s="10">
        <v>621323.98</v>
      </c>
    </row>
    <row r="78" spans="1:1" x14ac:dyDescent="0.35">
      <c r="A78" s="10">
        <v>81756.350000000006</v>
      </c>
    </row>
    <row r="79" spans="1:1" x14ac:dyDescent="0.35">
      <c r="A79" s="10">
        <v>345388</v>
      </c>
    </row>
    <row r="80" spans="1:1" x14ac:dyDescent="0.35">
      <c r="A80" s="10">
        <v>62327.1</v>
      </c>
    </row>
    <row r="81" spans="1:1" x14ac:dyDescent="0.35">
      <c r="A81" s="10">
        <v>111071.07</v>
      </c>
    </row>
    <row r="82" spans="1:1" x14ac:dyDescent="0.35">
      <c r="A82" s="10">
        <v>1396016.03</v>
      </c>
    </row>
    <row r="83" spans="1:1" x14ac:dyDescent="0.35">
      <c r="A83" s="10">
        <v>677257.84</v>
      </c>
    </row>
    <row r="84" spans="1:1" x14ac:dyDescent="0.35">
      <c r="A84" s="10">
        <v>159546.45000000001</v>
      </c>
    </row>
    <row r="85" spans="1:1" x14ac:dyDescent="0.35">
      <c r="A85" s="10">
        <v>1724264.43</v>
      </c>
    </row>
    <row r="86" spans="1:1" x14ac:dyDescent="0.35">
      <c r="A86" s="10">
        <v>111046.8</v>
      </c>
    </row>
    <row r="87" spans="1:1" x14ac:dyDescent="0.35">
      <c r="A87" s="10">
        <v>3311790</v>
      </c>
    </row>
    <row r="88" spans="1:1" x14ac:dyDescent="0.35">
      <c r="A88" s="10">
        <v>67345.52</v>
      </c>
    </row>
    <row r="89" spans="1:1" x14ac:dyDescent="0.35">
      <c r="A89" s="10">
        <v>4904262.5100000007</v>
      </c>
    </row>
    <row r="90" spans="1:1" x14ac:dyDescent="0.35">
      <c r="A90" s="10">
        <v>907190</v>
      </c>
    </row>
    <row r="91" spans="1:1" x14ac:dyDescent="0.35">
      <c r="A91" s="10">
        <v>132592.02000000002</v>
      </c>
    </row>
    <row r="92" spans="1:1" x14ac:dyDescent="0.35">
      <c r="A92" s="10">
        <v>4913789.3099999996</v>
      </c>
    </row>
    <row r="93" spans="1:1" x14ac:dyDescent="0.35">
      <c r="A93" s="10">
        <v>2954495.67</v>
      </c>
    </row>
    <row r="94" spans="1:1" x14ac:dyDescent="0.35">
      <c r="A94" s="10">
        <v>1512109.62</v>
      </c>
    </row>
    <row r="95" spans="1:1" x14ac:dyDescent="0.35">
      <c r="A95" s="10">
        <v>73203.180000000008</v>
      </c>
    </row>
    <row r="96" spans="1:1" x14ac:dyDescent="0.35">
      <c r="A96" s="10">
        <v>244130.25000000003</v>
      </c>
    </row>
    <row r="97" spans="1:1" x14ac:dyDescent="0.35">
      <c r="A97" s="10">
        <v>370821.75</v>
      </c>
    </row>
    <row r="98" spans="1:1" x14ac:dyDescent="0.35">
      <c r="A98" s="10">
        <v>1655746.08</v>
      </c>
    </row>
    <row r="99" spans="1:1" x14ac:dyDescent="0.35">
      <c r="A99" s="10">
        <v>2553459.67</v>
      </c>
    </row>
    <row r="100" spans="1:1" x14ac:dyDescent="0.35">
      <c r="A100" s="10">
        <v>777334.03</v>
      </c>
    </row>
    <row r="101" spans="1:1" x14ac:dyDescent="0.35">
      <c r="A101" s="10">
        <v>805469.82000000007</v>
      </c>
    </row>
    <row r="102" spans="1:1" x14ac:dyDescent="0.35">
      <c r="A102" s="10">
        <v>2032727.4</v>
      </c>
    </row>
    <row r="103" spans="1:1" x14ac:dyDescent="0.35">
      <c r="A103" s="10">
        <v>632262.24</v>
      </c>
    </row>
    <row r="104" spans="1:1" x14ac:dyDescent="0.35">
      <c r="A104" s="10">
        <v>879471.12000000011</v>
      </c>
    </row>
    <row r="105" spans="1:1" x14ac:dyDescent="0.35">
      <c r="A105" s="10">
        <v>3146883.4299999997</v>
      </c>
    </row>
    <row r="106" spans="1:1" x14ac:dyDescent="0.35">
      <c r="A106" s="10">
        <v>371106.45</v>
      </c>
    </row>
    <row r="107" spans="1:1" x14ac:dyDescent="0.35">
      <c r="A107" s="10">
        <v>617626.54</v>
      </c>
    </row>
    <row r="108" spans="1:1" x14ac:dyDescent="0.35">
      <c r="A108" s="10">
        <v>2352915.7600000002</v>
      </c>
    </row>
    <row r="109" spans="1:1" x14ac:dyDescent="0.35">
      <c r="A109" s="10">
        <v>597818.13</v>
      </c>
    </row>
    <row r="110" spans="1:1" x14ac:dyDescent="0.35">
      <c r="A110" s="10">
        <v>3753004.32</v>
      </c>
    </row>
    <row r="111" spans="1:1" x14ac:dyDescent="0.35">
      <c r="A111" s="10">
        <v>2258717.44</v>
      </c>
    </row>
    <row r="112" spans="1:1" x14ac:dyDescent="0.35">
      <c r="A112" s="10">
        <v>2265570.4</v>
      </c>
    </row>
    <row r="113" spans="1:1" x14ac:dyDescent="0.35">
      <c r="A113" s="10">
        <v>302073.24</v>
      </c>
    </row>
    <row r="114" spans="1:1" x14ac:dyDescent="0.35">
      <c r="A114" s="10">
        <v>701161.67</v>
      </c>
    </row>
    <row r="115" spans="1:1" x14ac:dyDescent="0.35">
      <c r="A115" s="10">
        <v>1659715.26</v>
      </c>
    </row>
    <row r="116" spans="1:1" x14ac:dyDescent="0.35">
      <c r="A116" s="10">
        <v>5995718.4399999995</v>
      </c>
    </row>
    <row r="117" spans="1:1" x14ac:dyDescent="0.35">
      <c r="A117" s="10">
        <v>2021051.76</v>
      </c>
    </row>
    <row r="118" spans="1:1" x14ac:dyDescent="0.35">
      <c r="A118" s="10">
        <v>96038.8</v>
      </c>
    </row>
    <row r="119" spans="1:1" x14ac:dyDescent="0.35">
      <c r="A119" s="10">
        <v>941694.6</v>
      </c>
    </row>
    <row r="120" spans="1:1" x14ac:dyDescent="0.35">
      <c r="A120" s="10">
        <v>482125.27</v>
      </c>
    </row>
    <row r="121" spans="1:1" x14ac:dyDescent="0.35">
      <c r="A121" s="10">
        <v>77746.89</v>
      </c>
    </row>
    <row r="122" spans="1:1" x14ac:dyDescent="0.35">
      <c r="A122" s="10">
        <v>192403.38</v>
      </c>
    </row>
    <row r="123" spans="1:1" x14ac:dyDescent="0.35">
      <c r="A123" s="10">
        <v>289207.75</v>
      </c>
    </row>
    <row r="124" spans="1:1" x14ac:dyDescent="0.35">
      <c r="A124" s="10">
        <v>11905.08</v>
      </c>
    </row>
    <row r="125" spans="1:1" x14ac:dyDescent="0.35">
      <c r="A125" s="10">
        <v>67894.41</v>
      </c>
    </row>
    <row r="126" spans="1:1" x14ac:dyDescent="0.35">
      <c r="A126" s="10">
        <v>677133.45</v>
      </c>
    </row>
    <row r="127" spans="1:1" x14ac:dyDescent="0.35">
      <c r="A127" s="10">
        <v>35407.35</v>
      </c>
    </row>
    <row r="128" spans="1:1" x14ac:dyDescent="0.35">
      <c r="A128" s="10">
        <v>19691.75</v>
      </c>
    </row>
    <row r="129" spans="1:1" x14ac:dyDescent="0.35">
      <c r="A129" s="10">
        <v>26157.18</v>
      </c>
    </row>
    <row r="130" spans="1:1" x14ac:dyDescent="0.35">
      <c r="A130" s="10">
        <v>1289020.02</v>
      </c>
    </row>
    <row r="131" spans="1:1" x14ac:dyDescent="0.35">
      <c r="A131" s="10">
        <v>460947.52</v>
      </c>
    </row>
    <row r="132" spans="1:1" x14ac:dyDescent="0.35">
      <c r="A132" s="10">
        <v>5765833.5599999996</v>
      </c>
    </row>
    <row r="133" spans="1:1" x14ac:dyDescent="0.35">
      <c r="A133" s="10">
        <v>510304.72000000003</v>
      </c>
    </row>
    <row r="134" spans="1:1" x14ac:dyDescent="0.35">
      <c r="A134" s="10">
        <v>4467951.8100000005</v>
      </c>
    </row>
    <row r="135" spans="1:1" x14ac:dyDescent="0.35">
      <c r="A135" s="10">
        <v>1386231.8800000001</v>
      </c>
    </row>
    <row r="136" spans="1:1" x14ac:dyDescent="0.35">
      <c r="A136" s="10">
        <v>134305.12</v>
      </c>
    </row>
    <row r="137" spans="1:1" x14ac:dyDescent="0.35">
      <c r="A137" s="10">
        <v>1728291.4</v>
      </c>
    </row>
    <row r="138" spans="1:1" x14ac:dyDescent="0.35">
      <c r="A138" s="10">
        <v>113737.65000000001</v>
      </c>
    </row>
    <row r="139" spans="1:1" x14ac:dyDescent="0.35">
      <c r="A139" s="10">
        <v>582407.98</v>
      </c>
    </row>
    <row r="140" spans="1:1" x14ac:dyDescent="0.35">
      <c r="A140" s="10">
        <v>1489271.7</v>
      </c>
    </row>
    <row r="141" spans="1:1" x14ac:dyDescent="0.35">
      <c r="A141" s="10">
        <v>217463.35</v>
      </c>
    </row>
    <row r="142" spans="1:1" x14ac:dyDescent="0.35">
      <c r="A142" s="10">
        <v>126788</v>
      </c>
    </row>
    <row r="143" spans="1:1" x14ac:dyDescent="0.35">
      <c r="A143" s="10">
        <v>552715.9</v>
      </c>
    </row>
    <row r="144" spans="1:1" x14ac:dyDescent="0.35">
      <c r="A144" s="10">
        <v>173199.4</v>
      </c>
    </row>
    <row r="145" spans="1:1" x14ac:dyDescent="0.35">
      <c r="A145" s="10">
        <v>639725.12</v>
      </c>
    </row>
    <row r="146" spans="1:1" x14ac:dyDescent="0.35">
      <c r="A146" s="10">
        <v>54589.83</v>
      </c>
    </row>
    <row r="147" spans="1:1" x14ac:dyDescent="0.35">
      <c r="A147" s="10">
        <v>9292.68</v>
      </c>
    </row>
    <row r="148" spans="1:1" x14ac:dyDescent="0.35">
      <c r="A148" s="10">
        <v>693070.4</v>
      </c>
    </row>
    <row r="149" spans="1:1" x14ac:dyDescent="0.35">
      <c r="A149" s="10">
        <v>1148469.6600000001</v>
      </c>
    </row>
    <row r="150" spans="1:1" x14ac:dyDescent="0.35">
      <c r="A150" s="10">
        <v>359039.89</v>
      </c>
    </row>
    <row r="151" spans="1:1" x14ac:dyDescent="0.35">
      <c r="A151" s="10">
        <v>68696.789999999994</v>
      </c>
    </row>
    <row r="152" spans="1:1" x14ac:dyDescent="0.35">
      <c r="A152" s="10">
        <v>1142873.55</v>
      </c>
    </row>
    <row r="153" spans="1:1" x14ac:dyDescent="0.35">
      <c r="A153" s="10">
        <v>45875.61</v>
      </c>
    </row>
    <row r="154" spans="1:1" x14ac:dyDescent="0.35">
      <c r="A154" s="10">
        <v>11466.57</v>
      </c>
    </row>
    <row r="155" spans="1:1" x14ac:dyDescent="0.35">
      <c r="A155" s="10">
        <v>66261.66</v>
      </c>
    </row>
    <row r="156" spans="1:1" x14ac:dyDescent="0.35">
      <c r="A156" s="10">
        <v>3995586.33</v>
      </c>
    </row>
    <row r="157" spans="1:1" x14ac:dyDescent="0.35">
      <c r="A157" s="10">
        <v>2170482.9300000002</v>
      </c>
    </row>
    <row r="158" spans="1:1" x14ac:dyDescent="0.35">
      <c r="A158" s="10">
        <v>1087520.7</v>
      </c>
    </row>
    <row r="159" spans="1:1" x14ac:dyDescent="0.35">
      <c r="A159" s="10">
        <v>451558.25</v>
      </c>
    </row>
    <row r="160" spans="1:1" x14ac:dyDescent="0.35">
      <c r="A160" s="10">
        <v>4321033.82</v>
      </c>
    </row>
    <row r="161" spans="1:1" x14ac:dyDescent="0.35">
      <c r="A161" s="10">
        <v>5268940.1100000003</v>
      </c>
    </row>
    <row r="162" spans="1:1" x14ac:dyDescent="0.35">
      <c r="A162" s="10">
        <v>670746.30000000005</v>
      </c>
    </row>
    <row r="163" spans="1:1" x14ac:dyDescent="0.35">
      <c r="A163" s="10">
        <v>1224006.7</v>
      </c>
    </row>
    <row r="164" spans="1:1" x14ac:dyDescent="0.35">
      <c r="A164" s="10">
        <v>3597456.03</v>
      </c>
    </row>
    <row r="165" spans="1:1" x14ac:dyDescent="0.35">
      <c r="A165" s="10">
        <v>2931096.21</v>
      </c>
    </row>
    <row r="166" spans="1:1" x14ac:dyDescent="0.35">
      <c r="A166" s="10">
        <v>1949553.69</v>
      </c>
    </row>
    <row r="167" spans="1:1" x14ac:dyDescent="0.35">
      <c r="A167" s="10">
        <v>1057065.44</v>
      </c>
    </row>
    <row r="168" spans="1:1" x14ac:dyDescent="0.35">
      <c r="A168" s="10">
        <v>3154049.64</v>
      </c>
    </row>
    <row r="169" spans="1:1" x14ac:dyDescent="0.35">
      <c r="A169" s="10">
        <v>1201720.08</v>
      </c>
    </row>
    <row r="170" spans="1:1" x14ac:dyDescent="0.35">
      <c r="A170" s="10">
        <v>847466.4</v>
      </c>
    </row>
    <row r="171" spans="1:1" x14ac:dyDescent="0.35">
      <c r="A171" s="10">
        <v>1239136.8</v>
      </c>
    </row>
    <row r="172" spans="1:1" x14ac:dyDescent="0.35">
      <c r="A172" s="10">
        <v>1315849.9200000002</v>
      </c>
    </row>
    <row r="173" spans="1:1" x14ac:dyDescent="0.35">
      <c r="A173" s="10">
        <v>2358324.83</v>
      </c>
    </row>
    <row r="174" spans="1:1" x14ac:dyDescent="0.35">
      <c r="A174" s="10">
        <v>3741201.45</v>
      </c>
    </row>
    <row r="175" spans="1:1" x14ac:dyDescent="0.35">
      <c r="A175" s="10">
        <v>188632.84</v>
      </c>
    </row>
    <row r="176" spans="1:1" x14ac:dyDescent="0.35">
      <c r="A176" s="10">
        <v>795995.52</v>
      </c>
    </row>
    <row r="177" spans="1:1" x14ac:dyDescent="0.35">
      <c r="A177" s="10">
        <v>1043448.38</v>
      </c>
    </row>
    <row r="178" spans="1:1" x14ac:dyDescent="0.35">
      <c r="A178" s="10">
        <v>595672.32000000007</v>
      </c>
    </row>
    <row r="179" spans="1:1" x14ac:dyDescent="0.35">
      <c r="A179" s="10">
        <v>2499995.19</v>
      </c>
    </row>
    <row r="180" spans="1:1" x14ac:dyDescent="0.35">
      <c r="A180" s="10">
        <v>5710460.4900000002</v>
      </c>
    </row>
    <row r="181" spans="1:1" x14ac:dyDescent="0.35">
      <c r="A181" s="10">
        <v>138506.55000000002</v>
      </c>
    </row>
    <row r="182" spans="1:1" x14ac:dyDescent="0.35">
      <c r="A182" s="10">
        <v>1551800.7999999998</v>
      </c>
    </row>
    <row r="183" spans="1:1" x14ac:dyDescent="0.35">
      <c r="A183" s="10">
        <v>647921.12</v>
      </c>
    </row>
    <row r="184" spans="1:1" x14ac:dyDescent="0.35">
      <c r="A184" s="10">
        <v>1726234.4</v>
      </c>
    </row>
    <row r="185" spans="1:1" x14ac:dyDescent="0.35">
      <c r="A185" s="10">
        <v>4865673.87</v>
      </c>
    </row>
    <row r="186" spans="1:1" x14ac:dyDescent="0.35">
      <c r="A186" s="10">
        <v>1287442.1700000002</v>
      </c>
    </row>
    <row r="187" spans="1:1" x14ac:dyDescent="0.35">
      <c r="A187" s="10">
        <v>184580.5</v>
      </c>
    </row>
    <row r="188" spans="1:1" x14ac:dyDescent="0.35">
      <c r="A188" s="10">
        <v>69466.8</v>
      </c>
    </row>
    <row r="189" spans="1:1" x14ac:dyDescent="0.35">
      <c r="A189" s="10">
        <v>788991.18</v>
      </c>
    </row>
    <row r="190" spans="1:1" x14ac:dyDescent="0.35">
      <c r="A190" s="10">
        <v>517541.19999999995</v>
      </c>
    </row>
    <row r="191" spans="1:1" x14ac:dyDescent="0.35">
      <c r="A191" s="10">
        <v>1327339.2</v>
      </c>
    </row>
    <row r="192" spans="1:1" x14ac:dyDescent="0.35">
      <c r="A192" s="10">
        <v>30770.34</v>
      </c>
    </row>
    <row r="193" spans="1:1" x14ac:dyDescent="0.35">
      <c r="A193" s="10">
        <v>155368.73000000001</v>
      </c>
    </row>
    <row r="194" spans="1:1" x14ac:dyDescent="0.35">
      <c r="A194" s="10">
        <v>689264.44000000006</v>
      </c>
    </row>
    <row r="195" spans="1:1" x14ac:dyDescent="0.35">
      <c r="A195" s="10">
        <v>3661161.42</v>
      </c>
    </row>
    <row r="196" spans="1:1" x14ac:dyDescent="0.35">
      <c r="A196" s="10">
        <v>85901.31</v>
      </c>
    </row>
    <row r="197" spans="1:1" x14ac:dyDescent="0.35">
      <c r="A197" s="10">
        <v>1216727.5999999999</v>
      </c>
    </row>
    <row r="198" spans="1:1" x14ac:dyDescent="0.35">
      <c r="A198" s="10">
        <v>487137.72000000003</v>
      </c>
    </row>
    <row r="199" spans="1:1" x14ac:dyDescent="0.35">
      <c r="A199" s="10">
        <v>3991917.3000000003</v>
      </c>
    </row>
    <row r="200" spans="1:1" x14ac:dyDescent="0.35">
      <c r="A200" s="10">
        <v>926267.1</v>
      </c>
    </row>
    <row r="201" spans="1:1" x14ac:dyDescent="0.35">
      <c r="A201" s="10">
        <v>477727.98000000004</v>
      </c>
    </row>
    <row r="202" spans="1:1" x14ac:dyDescent="0.35">
      <c r="A202" s="10">
        <v>599909.64</v>
      </c>
    </row>
    <row r="203" spans="1:1" x14ac:dyDescent="0.35">
      <c r="A203" s="10">
        <v>33357.35</v>
      </c>
    </row>
    <row r="204" spans="1:1" x14ac:dyDescent="0.35">
      <c r="A204" s="10">
        <v>1148504.72</v>
      </c>
    </row>
    <row r="205" spans="1:1" x14ac:dyDescent="0.35">
      <c r="A205" s="10">
        <v>902324.96</v>
      </c>
    </row>
    <row r="206" spans="1:1" x14ac:dyDescent="0.35">
      <c r="A206" s="10">
        <v>836185.98</v>
      </c>
    </row>
    <row r="207" spans="1:1" x14ac:dyDescent="0.35">
      <c r="A207" s="10">
        <v>71934.3</v>
      </c>
    </row>
    <row r="208" spans="1:1" x14ac:dyDescent="0.35">
      <c r="A208" s="10">
        <v>42050.31</v>
      </c>
    </row>
    <row r="209" spans="1:1" x14ac:dyDescent="0.35">
      <c r="A209" s="10">
        <v>1518832.8</v>
      </c>
    </row>
    <row r="210" spans="1:1" x14ac:dyDescent="0.35">
      <c r="A210" s="10">
        <v>563412.29999999993</v>
      </c>
    </row>
    <row r="211" spans="1:1" x14ac:dyDescent="0.35">
      <c r="A211" s="10">
        <v>269156.64</v>
      </c>
    </row>
    <row r="212" spans="1:1" x14ac:dyDescent="0.35">
      <c r="A212" s="10">
        <v>2511955.2000000002</v>
      </c>
    </row>
    <row r="213" spans="1:1" x14ac:dyDescent="0.35">
      <c r="A213" s="10">
        <v>38187.69</v>
      </c>
    </row>
    <row r="214" spans="1:1" x14ac:dyDescent="0.35">
      <c r="A214" s="10">
        <v>227392.56</v>
      </c>
    </row>
    <row r="215" spans="1:1" x14ac:dyDescent="0.35">
      <c r="A215" s="10">
        <v>22557.48</v>
      </c>
    </row>
    <row r="216" spans="1:1" x14ac:dyDescent="0.35">
      <c r="A216" s="10">
        <v>2451180.9</v>
      </c>
    </row>
    <row r="217" spans="1:1" x14ac:dyDescent="0.35">
      <c r="A217" s="10">
        <v>836083.62</v>
      </c>
    </row>
    <row r="218" spans="1:1" x14ac:dyDescent="0.35">
      <c r="A218" s="10">
        <v>2283793.4700000002</v>
      </c>
    </row>
    <row r="219" spans="1:1" x14ac:dyDescent="0.35">
      <c r="A219" s="10">
        <v>306527</v>
      </c>
    </row>
    <row r="220" spans="1:1" x14ac:dyDescent="0.35">
      <c r="A220" s="10">
        <v>1973314.4</v>
      </c>
    </row>
    <row r="221" spans="1:1" x14ac:dyDescent="0.35">
      <c r="A221" s="10">
        <v>1176651.21</v>
      </c>
    </row>
    <row r="222" spans="1:1" x14ac:dyDescent="0.35">
      <c r="A222" s="10">
        <v>338689.12</v>
      </c>
    </row>
    <row r="223" spans="1:1" x14ac:dyDescent="0.35">
      <c r="A223" s="10">
        <v>1615667.12</v>
      </c>
    </row>
    <row r="224" spans="1:1" x14ac:dyDescent="0.35">
      <c r="A224" s="10">
        <v>609462.24</v>
      </c>
    </row>
    <row r="225" spans="1:1" x14ac:dyDescent="0.35">
      <c r="A225" s="10">
        <v>306904.39999999997</v>
      </c>
    </row>
    <row r="226" spans="1:1" x14ac:dyDescent="0.35">
      <c r="A226" s="10">
        <v>1789384.2999999998</v>
      </c>
    </row>
    <row r="227" spans="1:1" x14ac:dyDescent="0.35">
      <c r="A227" s="10">
        <v>1068200.0999999999</v>
      </c>
    </row>
    <row r="228" spans="1:1" x14ac:dyDescent="0.35">
      <c r="A228" s="10">
        <v>446404.36</v>
      </c>
    </row>
    <row r="229" spans="1:1" x14ac:dyDescent="0.35">
      <c r="A229" s="10">
        <v>2993508.4</v>
      </c>
    </row>
    <row r="230" spans="1:1" x14ac:dyDescent="0.35">
      <c r="A230" s="10">
        <v>511164.5</v>
      </c>
    </row>
    <row r="231" spans="1:1" x14ac:dyDescent="0.35">
      <c r="A231" s="10">
        <v>1289020.02</v>
      </c>
    </row>
    <row r="232" spans="1:1" x14ac:dyDescent="0.35">
      <c r="A232" s="10">
        <v>1505597.52</v>
      </c>
    </row>
    <row r="233" spans="1:1" x14ac:dyDescent="0.35">
      <c r="A233" s="10">
        <v>1822249.5999999999</v>
      </c>
    </row>
    <row r="234" spans="1:1" x14ac:dyDescent="0.35">
      <c r="A234" s="10">
        <v>89063.2</v>
      </c>
    </row>
    <row r="235" spans="1:1" x14ac:dyDescent="0.35">
      <c r="A235" s="10">
        <v>296890.64</v>
      </c>
    </row>
    <row r="236" spans="1:1" x14ac:dyDescent="0.35">
      <c r="A236" s="10">
        <v>54852.200000000004</v>
      </c>
    </row>
    <row r="237" spans="1:1" x14ac:dyDescent="0.35">
      <c r="A237" s="10">
        <v>1803371.9</v>
      </c>
    </row>
    <row r="238" spans="1:1" x14ac:dyDescent="0.35">
      <c r="A238" s="10">
        <v>5860890</v>
      </c>
    </row>
    <row r="239" spans="1:1" x14ac:dyDescent="0.35">
      <c r="A239" s="10">
        <v>1370055.58</v>
      </c>
    </row>
    <row r="240" spans="1:1" x14ac:dyDescent="0.35">
      <c r="A240" s="10">
        <v>1059787.68</v>
      </c>
    </row>
    <row r="241" spans="1:1" x14ac:dyDescent="0.35">
      <c r="A241" s="10">
        <v>917427.3</v>
      </c>
    </row>
    <row r="242" spans="1:1" x14ac:dyDescent="0.35">
      <c r="A242" s="10">
        <v>21962.82</v>
      </c>
    </row>
    <row r="243" spans="1:1" x14ac:dyDescent="0.35">
      <c r="A243" s="10">
        <v>2897962.4099999997</v>
      </c>
    </row>
    <row r="244" spans="1:1" x14ac:dyDescent="0.35">
      <c r="A244" s="10">
        <v>260669.52</v>
      </c>
    </row>
    <row r="245" spans="1:1" x14ac:dyDescent="0.35">
      <c r="A245" s="10">
        <v>49680.15</v>
      </c>
    </row>
    <row r="246" spans="1:1" x14ac:dyDescent="0.35">
      <c r="A246" s="10">
        <v>4030338.6900000004</v>
      </c>
    </row>
    <row r="247" spans="1:1" x14ac:dyDescent="0.35">
      <c r="A247" s="10">
        <v>269981.08</v>
      </c>
    </row>
    <row r="248" spans="1:1" x14ac:dyDescent="0.35">
      <c r="A248" s="10">
        <v>438212.8</v>
      </c>
    </row>
    <row r="249" spans="1:1" x14ac:dyDescent="0.35">
      <c r="A249" s="10">
        <v>87272.82</v>
      </c>
    </row>
    <row r="250" spans="1:1" x14ac:dyDescent="0.35">
      <c r="A250" s="10">
        <v>54281.94</v>
      </c>
    </row>
    <row r="251" spans="1:1" x14ac:dyDescent="0.35">
      <c r="A251" s="10">
        <v>2103369.1999999997</v>
      </c>
    </row>
    <row r="252" spans="1:1" x14ac:dyDescent="0.35">
      <c r="A252" s="10">
        <v>728874.66</v>
      </c>
    </row>
    <row r="253" spans="1:1" x14ac:dyDescent="0.35">
      <c r="A253" s="10">
        <v>2611077.21</v>
      </c>
    </row>
    <row r="254" spans="1:1" x14ac:dyDescent="0.35">
      <c r="A254" s="10">
        <v>310892.40000000002</v>
      </c>
    </row>
    <row r="255" spans="1:1" x14ac:dyDescent="0.35">
      <c r="A255" s="10">
        <v>2361754.4</v>
      </c>
    </row>
    <row r="256" spans="1:1" x14ac:dyDescent="0.35">
      <c r="A256" s="10">
        <v>1420062.06</v>
      </c>
    </row>
    <row r="257" spans="1:1" x14ac:dyDescent="0.35">
      <c r="A257" s="10">
        <v>1047309.1200000001</v>
      </c>
    </row>
    <row r="258" spans="1:1" x14ac:dyDescent="0.35">
      <c r="A258" s="10">
        <v>302809.65000000002</v>
      </c>
    </row>
    <row r="259" spans="1:1" x14ac:dyDescent="0.35">
      <c r="A259" s="10">
        <v>355400.5</v>
      </c>
    </row>
    <row r="260" spans="1:1" x14ac:dyDescent="0.35">
      <c r="A260" s="10">
        <v>743120.08</v>
      </c>
    </row>
    <row r="261" spans="1:1" x14ac:dyDescent="0.35">
      <c r="A261" s="10">
        <v>2823287.88</v>
      </c>
    </row>
    <row r="262" spans="1:1" x14ac:dyDescent="0.35">
      <c r="A262" s="10">
        <v>1092273.21</v>
      </c>
    </row>
    <row r="263" spans="1:1" x14ac:dyDescent="0.35">
      <c r="A263" s="10">
        <v>521927.78</v>
      </c>
    </row>
    <row r="264" spans="1:1" x14ac:dyDescent="0.35">
      <c r="A264" s="10">
        <v>380966.67</v>
      </c>
    </row>
    <row r="265" spans="1:1" x14ac:dyDescent="0.35">
      <c r="A265" s="10">
        <v>107750.08</v>
      </c>
    </row>
    <row r="266" spans="1:1" x14ac:dyDescent="0.35">
      <c r="A266" s="10">
        <v>404084.2</v>
      </c>
    </row>
    <row r="267" spans="1:1" x14ac:dyDescent="0.35">
      <c r="A267" s="10">
        <v>4822210.05</v>
      </c>
    </row>
    <row r="268" spans="1:1" x14ac:dyDescent="0.35">
      <c r="A268" s="10">
        <v>5743112.3799999999</v>
      </c>
    </row>
    <row r="269" spans="1:1" x14ac:dyDescent="0.35">
      <c r="A269" s="10">
        <v>552628.96</v>
      </c>
    </row>
    <row r="270" spans="1:1" x14ac:dyDescent="0.35">
      <c r="A270" s="10">
        <v>1398554.2999999998</v>
      </c>
    </row>
    <row r="271" spans="1:1" x14ac:dyDescent="0.35">
      <c r="A271" s="10">
        <v>3914057.3899999997</v>
      </c>
    </row>
    <row r="272" spans="1:1" x14ac:dyDescent="0.35">
      <c r="A272" s="10">
        <v>106003.81000000001</v>
      </c>
    </row>
    <row r="273" spans="1:1" x14ac:dyDescent="0.35">
      <c r="A273" s="10">
        <v>461052.32</v>
      </c>
    </row>
    <row r="274" spans="1:1" x14ac:dyDescent="0.35">
      <c r="A274" s="10">
        <v>1202737.2</v>
      </c>
    </row>
    <row r="275" spans="1:1" x14ac:dyDescent="0.35">
      <c r="A275" s="10">
        <v>4594937.7600000007</v>
      </c>
    </row>
    <row r="276" spans="1:1" x14ac:dyDescent="0.35">
      <c r="A276" s="10">
        <v>1824674.25</v>
      </c>
    </row>
    <row r="277" spans="1:1" x14ac:dyDescent="0.35">
      <c r="A277" s="10">
        <v>179503.35</v>
      </c>
    </row>
    <row r="278" spans="1:1" x14ac:dyDescent="0.35">
      <c r="A278" s="10">
        <v>259437.04</v>
      </c>
    </row>
    <row r="279" spans="1:1" x14ac:dyDescent="0.35">
      <c r="A279" s="10">
        <v>1298789.7999999998</v>
      </c>
    </row>
    <row r="280" spans="1:1" x14ac:dyDescent="0.35">
      <c r="A280" s="10">
        <v>326856.48</v>
      </c>
    </row>
    <row r="281" spans="1:1" x14ac:dyDescent="0.35">
      <c r="A281" s="10">
        <v>740718.99</v>
      </c>
    </row>
    <row r="282" spans="1:1" x14ac:dyDescent="0.35">
      <c r="A282" s="10">
        <v>1359487.8</v>
      </c>
    </row>
    <row r="283" spans="1:1" x14ac:dyDescent="0.35">
      <c r="A283" s="10">
        <v>977291.04</v>
      </c>
    </row>
    <row r="284" spans="1:1" x14ac:dyDescent="0.35">
      <c r="A284" s="10">
        <v>1697053.26</v>
      </c>
    </row>
    <row r="285" spans="1:1" x14ac:dyDescent="0.35">
      <c r="A285" s="10">
        <v>819354.60000000009</v>
      </c>
    </row>
    <row r="286" spans="1:1" x14ac:dyDescent="0.35">
      <c r="A286" s="10">
        <v>2486937.7600000002</v>
      </c>
    </row>
    <row r="287" spans="1:1" x14ac:dyDescent="0.35">
      <c r="A287" s="10">
        <v>171745.38999999998</v>
      </c>
    </row>
    <row r="288" spans="1:1" x14ac:dyDescent="0.35">
      <c r="A288" s="10">
        <v>927022.24</v>
      </c>
    </row>
    <row r="289" spans="1:1" x14ac:dyDescent="0.35">
      <c r="A289" s="10">
        <v>380454.10000000003</v>
      </c>
    </row>
    <row r="290" spans="1:1" x14ac:dyDescent="0.35">
      <c r="A290" s="10">
        <v>450442.85000000003</v>
      </c>
    </row>
    <row r="291" spans="1:1" x14ac:dyDescent="0.35">
      <c r="A291" s="10">
        <v>1145131.8999999999</v>
      </c>
    </row>
    <row r="292" spans="1:1" x14ac:dyDescent="0.35">
      <c r="A292" s="10">
        <v>1220829.5</v>
      </c>
    </row>
    <row r="293" spans="1:1" x14ac:dyDescent="0.35">
      <c r="A293" s="10">
        <v>1013866.7999999999</v>
      </c>
    </row>
    <row r="294" spans="1:1" x14ac:dyDescent="0.35">
      <c r="A294" s="10">
        <v>530062.92000000004</v>
      </c>
    </row>
    <row r="295" spans="1:1" x14ac:dyDescent="0.35">
      <c r="A295" s="10">
        <v>81756.399999999994</v>
      </c>
    </row>
    <row r="296" spans="1:1" x14ac:dyDescent="0.35">
      <c r="A296" s="10">
        <v>178431.54</v>
      </c>
    </row>
    <row r="297" spans="1:1" x14ac:dyDescent="0.35">
      <c r="A297" s="10">
        <v>2395747.9499999997</v>
      </c>
    </row>
    <row r="298" spans="1:1" x14ac:dyDescent="0.35">
      <c r="A298" s="10">
        <v>1786704.72</v>
      </c>
    </row>
    <row r="299" spans="1:1" x14ac:dyDescent="0.35">
      <c r="A299" s="10">
        <v>4121921.6</v>
      </c>
    </row>
    <row r="300" spans="1:1" x14ac:dyDescent="0.35">
      <c r="A300" s="10">
        <v>2978643.6</v>
      </c>
    </row>
    <row r="301" spans="1:1" x14ac:dyDescent="0.35">
      <c r="A301" s="10">
        <v>4764096.83</v>
      </c>
    </row>
    <row r="302" spans="1:1" x14ac:dyDescent="0.35">
      <c r="A302" s="10">
        <v>439707.4</v>
      </c>
    </row>
    <row r="303" spans="1:1" x14ac:dyDescent="0.35">
      <c r="A303" s="10">
        <v>80256.66</v>
      </c>
    </row>
    <row r="304" spans="1:1" x14ac:dyDescent="0.35">
      <c r="A304" s="10">
        <v>562645.44000000006</v>
      </c>
    </row>
    <row r="305" spans="1:1" x14ac:dyDescent="0.35">
      <c r="A305" s="10">
        <v>3486077.07</v>
      </c>
    </row>
    <row r="306" spans="1:1" x14ac:dyDescent="0.35">
      <c r="A306" s="10">
        <v>599486.82000000007</v>
      </c>
    </row>
    <row r="307" spans="1:1" x14ac:dyDescent="0.35">
      <c r="A307" s="10">
        <v>330462.72000000003</v>
      </c>
    </row>
    <row r="308" spans="1:1" x14ac:dyDescent="0.35">
      <c r="A308" s="10">
        <v>3265428.6</v>
      </c>
    </row>
    <row r="309" spans="1:1" x14ac:dyDescent="0.35">
      <c r="A309" s="10">
        <v>1005560</v>
      </c>
    </row>
    <row r="310" spans="1:1" x14ac:dyDescent="0.35">
      <c r="A310" s="10">
        <v>2032028.8</v>
      </c>
    </row>
    <row r="311" spans="1:1" x14ac:dyDescent="0.35">
      <c r="A311" s="10">
        <v>874786.4</v>
      </c>
    </row>
    <row r="312" spans="1:1" x14ac:dyDescent="0.35">
      <c r="A312" s="10">
        <v>225002.69</v>
      </c>
    </row>
    <row r="313" spans="1:1" x14ac:dyDescent="0.35">
      <c r="A313" s="10">
        <v>936346.39999999991</v>
      </c>
    </row>
    <row r="314" spans="1:1" x14ac:dyDescent="0.35">
      <c r="A314" s="10">
        <v>25965.39</v>
      </c>
    </row>
    <row r="315" spans="1:1" x14ac:dyDescent="0.35">
      <c r="A315" s="10">
        <v>723882.61</v>
      </c>
    </row>
    <row r="316" spans="1:1" x14ac:dyDescent="0.35">
      <c r="A316" s="10">
        <v>185384.7</v>
      </c>
    </row>
    <row r="317" spans="1:1" x14ac:dyDescent="0.35">
      <c r="A317" s="10">
        <v>216852.93000000002</v>
      </c>
    </row>
    <row r="318" spans="1:1" x14ac:dyDescent="0.35">
      <c r="A318" s="10">
        <v>566529.54</v>
      </c>
    </row>
    <row r="319" spans="1:1" x14ac:dyDescent="0.35">
      <c r="A319" s="10">
        <v>581530.53</v>
      </c>
    </row>
    <row r="320" spans="1:1" x14ac:dyDescent="0.35">
      <c r="A320" s="10">
        <v>689801.20000000007</v>
      </c>
    </row>
    <row r="321" spans="1:1" x14ac:dyDescent="0.35">
      <c r="A321" s="10">
        <v>763059.18</v>
      </c>
    </row>
    <row r="322" spans="1:1" x14ac:dyDescent="0.35">
      <c r="A322" s="10">
        <v>1547252.08</v>
      </c>
    </row>
    <row r="323" spans="1:1" x14ac:dyDescent="0.35">
      <c r="A323" s="10">
        <v>3976735.1399999997</v>
      </c>
    </row>
    <row r="324" spans="1:1" x14ac:dyDescent="0.35">
      <c r="A324" s="10">
        <v>462163</v>
      </c>
    </row>
    <row r="325" spans="1:1" x14ac:dyDescent="0.35">
      <c r="A325" s="10">
        <v>766438.2</v>
      </c>
    </row>
    <row r="326" spans="1:1" x14ac:dyDescent="0.35">
      <c r="A326" s="10">
        <v>243893.00000000003</v>
      </c>
    </row>
    <row r="327" spans="1:1" x14ac:dyDescent="0.35">
      <c r="A327" s="10">
        <v>2493575.04</v>
      </c>
    </row>
    <row r="328" spans="1:1" x14ac:dyDescent="0.35">
      <c r="A328" s="10">
        <v>186684.4</v>
      </c>
    </row>
    <row r="329" spans="1:1" x14ac:dyDescent="0.35">
      <c r="A329" s="10">
        <v>299819.7</v>
      </c>
    </row>
    <row r="330" spans="1:1" x14ac:dyDescent="0.35">
      <c r="A330" s="10">
        <v>684420.64</v>
      </c>
    </row>
    <row r="331" spans="1:1" x14ac:dyDescent="0.35">
      <c r="A331" s="10">
        <v>3161830.4</v>
      </c>
    </row>
    <row r="332" spans="1:1" x14ac:dyDescent="0.35">
      <c r="A332" s="10">
        <v>2452446.5699999998</v>
      </c>
    </row>
    <row r="333" spans="1:1" x14ac:dyDescent="0.35">
      <c r="A333" s="10">
        <v>236395.90000000002</v>
      </c>
    </row>
    <row r="334" spans="1:1" x14ac:dyDescent="0.35">
      <c r="A334" s="10">
        <v>723534.3600000001</v>
      </c>
    </row>
    <row r="335" spans="1:1" x14ac:dyDescent="0.35">
      <c r="A335" s="10">
        <v>3116798.8</v>
      </c>
    </row>
    <row r="336" spans="1:1" x14ac:dyDescent="0.35">
      <c r="A336" s="10">
        <v>249308.4</v>
      </c>
    </row>
    <row r="337" spans="1:1" x14ac:dyDescent="0.35">
      <c r="A337" s="10">
        <v>3412246.32</v>
      </c>
    </row>
    <row r="338" spans="1:1" x14ac:dyDescent="0.35">
      <c r="A338" s="10">
        <v>907259.34</v>
      </c>
    </row>
    <row r="339" spans="1:1" x14ac:dyDescent="0.35">
      <c r="A339" s="10">
        <v>735328.38</v>
      </c>
    </row>
    <row r="340" spans="1:1" x14ac:dyDescent="0.35">
      <c r="A340" s="10">
        <v>18053.55</v>
      </c>
    </row>
    <row r="341" spans="1:1" x14ac:dyDescent="0.35">
      <c r="A341" s="10">
        <v>721029.44000000006</v>
      </c>
    </row>
    <row r="342" spans="1:1" x14ac:dyDescent="0.35">
      <c r="A342" s="10">
        <v>2116622.13</v>
      </c>
    </row>
    <row r="343" spans="1:1" x14ac:dyDescent="0.35">
      <c r="A343" s="10">
        <v>598526.56000000006</v>
      </c>
    </row>
    <row r="344" spans="1:1" x14ac:dyDescent="0.35">
      <c r="A344" s="10">
        <v>1441011.2</v>
      </c>
    </row>
    <row r="345" spans="1:1" x14ac:dyDescent="0.35">
      <c r="A345" s="10">
        <v>1486495.44</v>
      </c>
    </row>
    <row r="346" spans="1:1" x14ac:dyDescent="0.35">
      <c r="A346" s="10">
        <v>3138017.82</v>
      </c>
    </row>
    <row r="347" spans="1:1" x14ac:dyDescent="0.35">
      <c r="A347" s="10">
        <v>497442.56</v>
      </c>
    </row>
    <row r="348" spans="1:1" x14ac:dyDescent="0.35">
      <c r="A348" s="10">
        <v>124654.2</v>
      </c>
    </row>
    <row r="349" spans="1:1" x14ac:dyDescent="0.35">
      <c r="A349" s="10">
        <v>165768.56</v>
      </c>
    </row>
    <row r="350" spans="1:1" x14ac:dyDescent="0.35">
      <c r="A350" s="10">
        <v>3571298.85</v>
      </c>
    </row>
    <row r="351" spans="1:1" x14ac:dyDescent="0.35">
      <c r="A351" s="10">
        <v>3084437.79</v>
      </c>
    </row>
    <row r="352" spans="1:1" x14ac:dyDescent="0.35">
      <c r="A352" s="10">
        <v>4013058.8</v>
      </c>
    </row>
    <row r="353" spans="1:1" x14ac:dyDescent="0.35">
      <c r="A353" s="10">
        <v>1957742.32</v>
      </c>
    </row>
    <row r="354" spans="1:1" x14ac:dyDescent="0.35">
      <c r="A354" s="10">
        <v>161851.95000000001</v>
      </c>
    </row>
    <row r="355" spans="1:1" x14ac:dyDescent="0.35">
      <c r="A355" s="10">
        <v>84585.78</v>
      </c>
    </row>
    <row r="356" spans="1:1" x14ac:dyDescent="0.35">
      <c r="A356" s="10">
        <v>353563.98000000004</v>
      </c>
    </row>
    <row r="357" spans="1:1" x14ac:dyDescent="0.35">
      <c r="A357" s="10">
        <v>8536.9500000000007</v>
      </c>
    </row>
    <row r="358" spans="1:1" x14ac:dyDescent="0.35">
      <c r="A358" s="10">
        <v>829216.64</v>
      </c>
    </row>
    <row r="359" spans="1:1" x14ac:dyDescent="0.35">
      <c r="A359" s="10">
        <v>1055446.7</v>
      </c>
    </row>
    <row r="360" spans="1:1" x14ac:dyDescent="0.35">
      <c r="A360" s="10">
        <v>909515.47</v>
      </c>
    </row>
    <row r="361" spans="1:1" x14ac:dyDescent="0.35">
      <c r="A361" s="10">
        <v>943925.62</v>
      </c>
    </row>
    <row r="362" spans="1:1" x14ac:dyDescent="0.35">
      <c r="A362" s="10">
        <v>971810.48</v>
      </c>
    </row>
    <row r="363" spans="1:1" x14ac:dyDescent="0.35">
      <c r="A363" s="10">
        <v>532038.57000000007</v>
      </c>
    </row>
    <row r="364" spans="1:1" x14ac:dyDescent="0.35">
      <c r="A364" s="10">
        <v>457279.35000000003</v>
      </c>
    </row>
    <row r="365" spans="1:1" x14ac:dyDescent="0.35">
      <c r="A365" s="10">
        <v>3635004.2399999998</v>
      </c>
    </row>
    <row r="366" spans="1:1" x14ac:dyDescent="0.35">
      <c r="A366" s="10">
        <v>231793.25</v>
      </c>
    </row>
    <row r="367" spans="1:1" x14ac:dyDescent="0.35">
      <c r="A367" s="10">
        <v>935788.77</v>
      </c>
    </row>
    <row r="368" spans="1:1" x14ac:dyDescent="0.35">
      <c r="A368" s="10">
        <v>191329.93000000002</v>
      </c>
    </row>
    <row r="369" spans="1:1" x14ac:dyDescent="0.35">
      <c r="A369" s="10">
        <v>563783.10000000009</v>
      </c>
    </row>
    <row r="370" spans="1:1" x14ac:dyDescent="0.35">
      <c r="A370" s="10">
        <v>5766501.8300000001</v>
      </c>
    </row>
    <row r="371" spans="1:1" x14ac:dyDescent="0.35">
      <c r="A371" s="10">
        <v>1007308.7999999999</v>
      </c>
    </row>
    <row r="372" spans="1:1" x14ac:dyDescent="0.35">
      <c r="A372" s="10">
        <v>1054632.9600000002</v>
      </c>
    </row>
    <row r="373" spans="1:1" x14ac:dyDescent="0.35">
      <c r="A373" s="10">
        <v>4462707.0599999996</v>
      </c>
    </row>
    <row r="374" spans="1:1" x14ac:dyDescent="0.35">
      <c r="A374" s="10">
        <v>311994.40000000002</v>
      </c>
    </row>
    <row r="375" spans="1:1" x14ac:dyDescent="0.35">
      <c r="A375" s="10">
        <v>1795761</v>
      </c>
    </row>
    <row r="376" spans="1:1" x14ac:dyDescent="0.35">
      <c r="A376" s="10">
        <v>377674.33</v>
      </c>
    </row>
    <row r="377" spans="1:1" x14ac:dyDescent="0.35">
      <c r="A377" s="10">
        <v>591387.5</v>
      </c>
    </row>
    <row r="378" spans="1:1" x14ac:dyDescent="0.35">
      <c r="A378" s="10">
        <v>1212511.8599999999</v>
      </c>
    </row>
    <row r="379" spans="1:1" x14ac:dyDescent="0.35">
      <c r="A379" s="10">
        <v>2635441.6</v>
      </c>
    </row>
    <row r="380" spans="1:1" x14ac:dyDescent="0.35">
      <c r="A380" s="10">
        <v>160240.29999999999</v>
      </c>
    </row>
    <row r="381" spans="1:1" x14ac:dyDescent="0.35">
      <c r="A381" s="10">
        <v>3206785.8899999997</v>
      </c>
    </row>
    <row r="382" spans="1:1" x14ac:dyDescent="0.35">
      <c r="A382" s="10">
        <v>1020864.72</v>
      </c>
    </row>
    <row r="383" spans="1:1" x14ac:dyDescent="0.35">
      <c r="A383" s="10">
        <v>1450883.2200000002</v>
      </c>
    </row>
    <row r="384" spans="1:1" x14ac:dyDescent="0.35">
      <c r="A384" s="10">
        <v>294901.11</v>
      </c>
    </row>
    <row r="385" spans="1:1" x14ac:dyDescent="0.35">
      <c r="A385" s="10">
        <v>1574311.76</v>
      </c>
    </row>
    <row r="386" spans="1:1" x14ac:dyDescent="0.35">
      <c r="A386" s="10">
        <v>126109.39</v>
      </c>
    </row>
    <row r="387" spans="1:1" x14ac:dyDescent="0.35">
      <c r="A387" s="10">
        <v>41863.71</v>
      </c>
    </row>
    <row r="388" spans="1:1" x14ac:dyDescent="0.35">
      <c r="A388" s="10">
        <v>1994055.7999999998</v>
      </c>
    </row>
    <row r="389" spans="1:1" x14ac:dyDescent="0.35">
      <c r="A389" s="10">
        <v>592773.30000000005</v>
      </c>
    </row>
    <row r="390" spans="1:1" x14ac:dyDescent="0.35">
      <c r="A390" s="10">
        <v>532038.57000000007</v>
      </c>
    </row>
    <row r="391" spans="1:1" x14ac:dyDescent="0.35">
      <c r="A391" s="10">
        <v>512855.75</v>
      </c>
    </row>
    <row r="392" spans="1:1" x14ac:dyDescent="0.35">
      <c r="A392" s="10">
        <v>785241.28</v>
      </c>
    </row>
    <row r="393" spans="1:1" x14ac:dyDescent="0.35">
      <c r="A393" s="10">
        <v>2653366.7999999998</v>
      </c>
    </row>
    <row r="394" spans="1:1" x14ac:dyDescent="0.35">
      <c r="A394" s="10">
        <v>779712.8</v>
      </c>
    </row>
    <row r="395" spans="1:1" x14ac:dyDescent="0.35">
      <c r="A395" s="10">
        <v>37848.799999999996</v>
      </c>
    </row>
    <row r="396" spans="1:1" x14ac:dyDescent="0.35">
      <c r="A396" s="10">
        <v>2597998.62</v>
      </c>
    </row>
    <row r="397" spans="1:1" x14ac:dyDescent="0.35">
      <c r="A397" s="10">
        <v>1237255.8600000001</v>
      </c>
    </row>
    <row r="398" spans="1:1" x14ac:dyDescent="0.35">
      <c r="A398" s="10">
        <v>634807.52</v>
      </c>
    </row>
    <row r="399" spans="1:1" x14ac:dyDescent="0.35">
      <c r="A399" s="10">
        <v>72456.150000000009</v>
      </c>
    </row>
    <row r="400" spans="1:1" x14ac:dyDescent="0.35">
      <c r="A400" s="10">
        <v>648770.16</v>
      </c>
    </row>
    <row r="401" spans="1:1" x14ac:dyDescent="0.35">
      <c r="A401" s="10">
        <v>3310100.43</v>
      </c>
    </row>
    <row r="402" spans="1:1" x14ac:dyDescent="0.35">
      <c r="A402" s="10">
        <v>235061.28</v>
      </c>
    </row>
    <row r="403" spans="1:1" x14ac:dyDescent="0.35">
      <c r="A403" s="10">
        <v>865200.96</v>
      </c>
    </row>
    <row r="404" spans="1:1" x14ac:dyDescent="0.35">
      <c r="A404" s="10">
        <v>24920.43</v>
      </c>
    </row>
    <row r="405" spans="1:1" x14ac:dyDescent="0.35">
      <c r="A405" s="10">
        <v>387248.04000000004</v>
      </c>
    </row>
    <row r="406" spans="1:1" x14ac:dyDescent="0.35">
      <c r="A406" s="10">
        <v>224902.92</v>
      </c>
    </row>
    <row r="407" spans="1:1" x14ac:dyDescent="0.35">
      <c r="A407" s="10">
        <v>5189116.55</v>
      </c>
    </row>
    <row r="408" spans="1:1" x14ac:dyDescent="0.35">
      <c r="A408" s="10">
        <v>1026405.66</v>
      </c>
    </row>
    <row r="409" spans="1:1" x14ac:dyDescent="0.35">
      <c r="A409" s="10">
        <v>466596.57</v>
      </c>
    </row>
    <row r="410" spans="1:1" x14ac:dyDescent="0.35">
      <c r="A410" s="10">
        <v>84819.03</v>
      </c>
    </row>
    <row r="411" spans="1:1" x14ac:dyDescent="0.35">
      <c r="A411" s="10">
        <v>155873.25</v>
      </c>
    </row>
    <row r="412" spans="1:1" x14ac:dyDescent="0.35">
      <c r="A412" s="10">
        <v>82183.400000000009</v>
      </c>
    </row>
    <row r="413" spans="1:1" x14ac:dyDescent="0.35">
      <c r="A413" s="10">
        <v>2529058.96</v>
      </c>
    </row>
    <row r="414" spans="1:1" x14ac:dyDescent="0.35">
      <c r="A414" s="10">
        <v>2929.62</v>
      </c>
    </row>
    <row r="415" spans="1:1" x14ac:dyDescent="0.35">
      <c r="A415" s="10">
        <v>3159534.21</v>
      </c>
    </row>
    <row r="416" spans="1:1" x14ac:dyDescent="0.35">
      <c r="A416" s="10">
        <v>2004810</v>
      </c>
    </row>
    <row r="417" spans="1:1" x14ac:dyDescent="0.35">
      <c r="A417" s="10">
        <v>4151.8500000000004</v>
      </c>
    </row>
    <row r="418" spans="1:1" x14ac:dyDescent="0.35">
      <c r="A418" s="10">
        <v>93593.5</v>
      </c>
    </row>
    <row r="419" spans="1:1" x14ac:dyDescent="0.35">
      <c r="A419" s="10">
        <v>465043.7</v>
      </c>
    </row>
    <row r="420" spans="1:1" x14ac:dyDescent="0.35">
      <c r="A420" s="10">
        <v>900172.58</v>
      </c>
    </row>
    <row r="421" spans="1:1" x14ac:dyDescent="0.35">
      <c r="A421" s="10">
        <v>215522.01</v>
      </c>
    </row>
    <row r="422" spans="1:1" x14ac:dyDescent="0.35">
      <c r="A422" s="10">
        <v>229041.15000000002</v>
      </c>
    </row>
    <row r="423" spans="1:1" x14ac:dyDescent="0.35">
      <c r="A423" s="10">
        <v>492992</v>
      </c>
    </row>
    <row r="424" spans="1:1" x14ac:dyDescent="0.35">
      <c r="A424" s="10">
        <v>1146160.3999999999</v>
      </c>
    </row>
    <row r="425" spans="1:1" x14ac:dyDescent="0.35">
      <c r="A425" s="10">
        <v>16728.689999999999</v>
      </c>
    </row>
    <row r="426" spans="1:1" x14ac:dyDescent="0.35">
      <c r="A426" s="10">
        <v>414855.35000000003</v>
      </c>
    </row>
    <row r="427" spans="1:1" x14ac:dyDescent="0.35">
      <c r="A427" s="10">
        <v>252955.95</v>
      </c>
    </row>
    <row r="428" spans="1:1" x14ac:dyDescent="0.35">
      <c r="A428" s="10">
        <v>69993.66</v>
      </c>
    </row>
    <row r="429" spans="1:1" x14ac:dyDescent="0.35">
      <c r="A429" s="10">
        <v>2102105.88</v>
      </c>
    </row>
    <row r="430" spans="1:1" x14ac:dyDescent="0.35">
      <c r="A430" s="10">
        <v>4893191.9400000004</v>
      </c>
    </row>
    <row r="431" spans="1:1" x14ac:dyDescent="0.35">
      <c r="A431" s="10">
        <v>808344.16</v>
      </c>
    </row>
    <row r="432" spans="1:1" x14ac:dyDescent="0.35">
      <c r="A432" s="10">
        <v>329492.80000000005</v>
      </c>
    </row>
    <row r="433" spans="1:1" x14ac:dyDescent="0.35">
      <c r="A433" s="10">
        <v>347097.18</v>
      </c>
    </row>
    <row r="434" spans="1:1" x14ac:dyDescent="0.35">
      <c r="A434" s="10">
        <v>527485.42000000004</v>
      </c>
    </row>
    <row r="435" spans="1:1" x14ac:dyDescent="0.35">
      <c r="A435" s="10">
        <v>718499.22000000009</v>
      </c>
    </row>
    <row r="436" spans="1:1" x14ac:dyDescent="0.35">
      <c r="A436" s="10">
        <v>1418892.6</v>
      </c>
    </row>
    <row r="437" spans="1:1" x14ac:dyDescent="0.35">
      <c r="A437" s="10">
        <v>38999.4</v>
      </c>
    </row>
    <row r="438" spans="1:1" x14ac:dyDescent="0.35">
      <c r="A438" s="10">
        <v>584736.25</v>
      </c>
    </row>
    <row r="439" spans="1:1" x14ac:dyDescent="0.35">
      <c r="A439" s="10">
        <v>1088476.2</v>
      </c>
    </row>
    <row r="440" spans="1:1" x14ac:dyDescent="0.35">
      <c r="A440" s="10">
        <v>1466904.12</v>
      </c>
    </row>
    <row r="441" spans="1:1" x14ac:dyDescent="0.35">
      <c r="A441" s="10">
        <v>666001.38</v>
      </c>
    </row>
    <row r="442" spans="1:1" x14ac:dyDescent="0.35">
      <c r="A442" s="10">
        <v>929212.20000000007</v>
      </c>
    </row>
    <row r="443" spans="1:1" x14ac:dyDescent="0.35">
      <c r="A443" s="10">
        <v>1614135.44</v>
      </c>
    </row>
    <row r="444" spans="1:1" x14ac:dyDescent="0.35">
      <c r="A444" s="10">
        <v>1462692.63</v>
      </c>
    </row>
    <row r="445" spans="1:1" x14ac:dyDescent="0.35">
      <c r="A445" s="10">
        <v>873584.32000000007</v>
      </c>
    </row>
    <row r="446" spans="1:1" x14ac:dyDescent="0.35">
      <c r="A446" s="10">
        <v>1141584.6000000001</v>
      </c>
    </row>
    <row r="447" spans="1:1" x14ac:dyDescent="0.35">
      <c r="A447" s="10">
        <v>527362.5</v>
      </c>
    </row>
    <row r="448" spans="1:1" x14ac:dyDescent="0.35">
      <c r="A448" s="10">
        <v>497163.59</v>
      </c>
    </row>
    <row r="449" spans="1:1" x14ac:dyDescent="0.35">
      <c r="A449" s="10">
        <v>77052.900000000009</v>
      </c>
    </row>
    <row r="450" spans="1:1" x14ac:dyDescent="0.35">
      <c r="A450" s="10">
        <v>22954.94</v>
      </c>
    </row>
    <row r="451" spans="1:1" x14ac:dyDescent="0.35">
      <c r="A451" s="10">
        <v>1169072.8</v>
      </c>
    </row>
    <row r="452" spans="1:1" x14ac:dyDescent="0.35">
      <c r="A452" s="10">
        <v>427208.38</v>
      </c>
    </row>
    <row r="453" spans="1:1" x14ac:dyDescent="0.35">
      <c r="A453" s="10">
        <v>783428.32000000007</v>
      </c>
    </row>
    <row r="454" spans="1:1" x14ac:dyDescent="0.35">
      <c r="A454" s="10">
        <v>4205426.8</v>
      </c>
    </row>
    <row r="455" spans="1:1" x14ac:dyDescent="0.35">
      <c r="A455" s="10">
        <v>909878.36</v>
      </c>
    </row>
    <row r="456" spans="1:1" x14ac:dyDescent="0.35">
      <c r="A456" s="10">
        <v>2259228</v>
      </c>
    </row>
    <row r="457" spans="1:1" x14ac:dyDescent="0.35">
      <c r="A457" s="10">
        <v>2204622.73</v>
      </c>
    </row>
    <row r="458" spans="1:1" x14ac:dyDescent="0.35">
      <c r="A458" s="10">
        <v>53713.4</v>
      </c>
    </row>
    <row r="459" spans="1:1" x14ac:dyDescent="0.35">
      <c r="A459" s="10">
        <v>2737309.1999999997</v>
      </c>
    </row>
    <row r="460" spans="1:1" x14ac:dyDescent="0.35">
      <c r="A460" s="10">
        <v>1052038.56</v>
      </c>
    </row>
    <row r="461" spans="1:1" x14ac:dyDescent="0.35">
      <c r="A461" s="10">
        <v>199574.7</v>
      </c>
    </row>
    <row r="462" spans="1:1" x14ac:dyDescent="0.35">
      <c r="A462" s="10">
        <v>47.45</v>
      </c>
    </row>
    <row r="463" spans="1:1" x14ac:dyDescent="0.35">
      <c r="A463" s="10">
        <v>1380696.4200000002</v>
      </c>
    </row>
    <row r="464" spans="1:1" x14ac:dyDescent="0.35">
      <c r="A464" s="10">
        <v>45569.760000000002</v>
      </c>
    </row>
    <row r="465" spans="1:1" x14ac:dyDescent="0.35">
      <c r="A465" s="10">
        <v>425241.19</v>
      </c>
    </row>
    <row r="466" spans="1:1" x14ac:dyDescent="0.35">
      <c r="A466" s="10">
        <v>237098.34</v>
      </c>
    </row>
    <row r="467" spans="1:1" x14ac:dyDescent="0.35">
      <c r="A467" s="10">
        <v>783300.32000000007</v>
      </c>
    </row>
    <row r="468" spans="1:1" x14ac:dyDescent="0.35">
      <c r="A468" s="10">
        <v>1006165.86</v>
      </c>
    </row>
    <row r="469" spans="1:1" x14ac:dyDescent="0.35">
      <c r="A469" s="10">
        <v>409469.12</v>
      </c>
    </row>
    <row r="470" spans="1:1" x14ac:dyDescent="0.35">
      <c r="A470" s="10">
        <v>162841.42000000001</v>
      </c>
    </row>
    <row r="471" spans="1:1" x14ac:dyDescent="0.35">
      <c r="A471" s="10">
        <v>2123762.06</v>
      </c>
    </row>
    <row r="472" spans="1:1" x14ac:dyDescent="0.35">
      <c r="A472" s="10">
        <v>2193262.14</v>
      </c>
    </row>
    <row r="473" spans="1:1" x14ac:dyDescent="0.35">
      <c r="A473" s="10">
        <v>1343249.1400000001</v>
      </c>
    </row>
    <row r="474" spans="1:1" x14ac:dyDescent="0.35">
      <c r="A474" s="10">
        <v>36097.769999999997</v>
      </c>
    </row>
    <row r="475" spans="1:1" x14ac:dyDescent="0.35">
      <c r="A475" s="10">
        <v>792330.58</v>
      </c>
    </row>
    <row r="476" spans="1:1" x14ac:dyDescent="0.35">
      <c r="A476" s="10">
        <v>283893.35000000003</v>
      </c>
    </row>
    <row r="477" spans="1:1" x14ac:dyDescent="0.35">
      <c r="A477" s="10">
        <v>284256.54000000004</v>
      </c>
    </row>
    <row r="478" spans="1:1" x14ac:dyDescent="0.35">
      <c r="A478" s="10">
        <v>2311476.4</v>
      </c>
    </row>
    <row r="479" spans="1:1" x14ac:dyDescent="0.35">
      <c r="A479" s="10">
        <v>86659.040000000008</v>
      </c>
    </row>
    <row r="480" spans="1:1" x14ac:dyDescent="0.35">
      <c r="A480" s="10">
        <v>1532280.76</v>
      </c>
    </row>
    <row r="481" spans="1:1" x14ac:dyDescent="0.35">
      <c r="A481" s="10">
        <v>4241509.6899999995</v>
      </c>
    </row>
    <row r="482" spans="1:1" x14ac:dyDescent="0.35">
      <c r="A482" s="10">
        <v>406355.04000000004</v>
      </c>
    </row>
    <row r="483" spans="1:1" x14ac:dyDescent="0.35">
      <c r="A483" s="10">
        <v>1118802.3</v>
      </c>
    </row>
    <row r="484" spans="1:1" x14ac:dyDescent="0.35">
      <c r="A484" s="10">
        <v>4515.72</v>
      </c>
    </row>
    <row r="485" spans="1:1" x14ac:dyDescent="0.35">
      <c r="A485" s="10">
        <v>1539253.0999999999</v>
      </c>
    </row>
    <row r="486" spans="1:1" x14ac:dyDescent="0.35">
      <c r="A486" s="10">
        <v>48432.03</v>
      </c>
    </row>
    <row r="487" spans="1:1" x14ac:dyDescent="0.35">
      <c r="A487" s="10">
        <v>2936378.38</v>
      </c>
    </row>
    <row r="488" spans="1:1" x14ac:dyDescent="0.35">
      <c r="A488" s="10">
        <v>317895.52</v>
      </c>
    </row>
    <row r="489" spans="1:1" x14ac:dyDescent="0.35">
      <c r="A489" s="10">
        <v>90125.1</v>
      </c>
    </row>
    <row r="490" spans="1:1" x14ac:dyDescent="0.35">
      <c r="A490" s="10">
        <v>470122.56</v>
      </c>
    </row>
    <row r="491" spans="1:1" x14ac:dyDescent="0.35">
      <c r="A491" s="10">
        <v>242819.83000000002</v>
      </c>
    </row>
    <row r="492" spans="1:1" x14ac:dyDescent="0.35">
      <c r="A492" s="10">
        <v>646879.52</v>
      </c>
    </row>
    <row r="493" spans="1:1" x14ac:dyDescent="0.35">
      <c r="A493" s="10">
        <v>78869.45</v>
      </c>
    </row>
    <row r="494" spans="1:1" x14ac:dyDescent="0.35">
      <c r="A494" s="10">
        <v>1429206.8</v>
      </c>
    </row>
    <row r="495" spans="1:1" x14ac:dyDescent="0.35">
      <c r="A495" s="10">
        <v>60477.06</v>
      </c>
    </row>
    <row r="496" spans="1:1" x14ac:dyDescent="0.35">
      <c r="A496" s="10">
        <v>3041801.91</v>
      </c>
    </row>
    <row r="497" spans="1:1" x14ac:dyDescent="0.35">
      <c r="A497" s="10">
        <v>809429.5</v>
      </c>
    </row>
    <row r="498" spans="1:1" x14ac:dyDescent="0.35">
      <c r="A498" s="10">
        <v>1129702.32</v>
      </c>
    </row>
    <row r="499" spans="1:1" x14ac:dyDescent="0.35">
      <c r="A499" s="10">
        <v>159716.53</v>
      </c>
    </row>
    <row r="500" spans="1:1" x14ac:dyDescent="0.35">
      <c r="A500" s="10">
        <v>953008.1</v>
      </c>
    </row>
    <row r="501" spans="1:1" x14ac:dyDescent="0.35">
      <c r="A501" s="10">
        <v>989005.6</v>
      </c>
    </row>
    <row r="502" spans="1:1" x14ac:dyDescent="0.35">
      <c r="A502" s="10">
        <v>308364.18000000005</v>
      </c>
    </row>
    <row r="503" spans="1:1" x14ac:dyDescent="0.35">
      <c r="A503" s="10">
        <v>4177883.1999999997</v>
      </c>
    </row>
    <row r="504" spans="1:1" x14ac:dyDescent="0.35">
      <c r="A504" s="10">
        <v>72139.56</v>
      </c>
    </row>
    <row r="505" spans="1:1" x14ac:dyDescent="0.35">
      <c r="A505" s="10">
        <v>5944929.9199999999</v>
      </c>
    </row>
    <row r="506" spans="1:1" x14ac:dyDescent="0.35">
      <c r="A506" s="10">
        <v>1582440.3</v>
      </c>
    </row>
    <row r="507" spans="1:1" x14ac:dyDescent="0.35">
      <c r="A507" s="10">
        <v>2487448.3199999998</v>
      </c>
    </row>
    <row r="508" spans="1:1" x14ac:dyDescent="0.35">
      <c r="A508" s="10">
        <v>1908896</v>
      </c>
    </row>
    <row r="509" spans="1:1" x14ac:dyDescent="0.35">
      <c r="A509" s="10">
        <v>14116.29</v>
      </c>
    </row>
    <row r="510" spans="1:1" x14ac:dyDescent="0.35">
      <c r="A510" s="10">
        <v>602080.68000000005</v>
      </c>
    </row>
    <row r="511" spans="1:1" x14ac:dyDescent="0.35">
      <c r="A511" s="10">
        <v>57062.28</v>
      </c>
    </row>
    <row r="512" spans="1:1" x14ac:dyDescent="0.35">
      <c r="A512" s="10">
        <v>217842.95</v>
      </c>
    </row>
    <row r="513" spans="1:1" x14ac:dyDescent="0.35">
      <c r="A513" s="10">
        <v>1215910.02</v>
      </c>
    </row>
    <row r="514" spans="1:1" x14ac:dyDescent="0.35">
      <c r="A514" s="10">
        <v>289632.8</v>
      </c>
    </row>
    <row r="515" spans="1:1" x14ac:dyDescent="0.35">
      <c r="A515" s="10">
        <v>613929.1</v>
      </c>
    </row>
    <row r="516" spans="1:1" x14ac:dyDescent="0.35">
      <c r="A516" s="10">
        <v>425958.65</v>
      </c>
    </row>
    <row r="517" spans="1:1" x14ac:dyDescent="0.35">
      <c r="A517" s="10">
        <v>545931.24</v>
      </c>
    </row>
    <row r="518" spans="1:1" x14ac:dyDescent="0.35">
      <c r="A518" s="10">
        <v>317806.5</v>
      </c>
    </row>
    <row r="519" spans="1:1" x14ac:dyDescent="0.35">
      <c r="A519" s="10">
        <v>80825.789999999994</v>
      </c>
    </row>
    <row r="520" spans="1:1" x14ac:dyDescent="0.35">
      <c r="A520" s="10">
        <v>72298.17</v>
      </c>
    </row>
    <row r="521" spans="1:1" x14ac:dyDescent="0.35">
      <c r="A521" s="10">
        <v>562781.18000000005</v>
      </c>
    </row>
    <row r="522" spans="1:1" x14ac:dyDescent="0.35">
      <c r="A522" s="10">
        <v>1271611.24</v>
      </c>
    </row>
    <row r="523" spans="1:1" x14ac:dyDescent="0.35">
      <c r="A523" s="10">
        <v>3557560.23</v>
      </c>
    </row>
    <row r="524" spans="1:1" x14ac:dyDescent="0.35">
      <c r="A524" s="10">
        <v>2720258.4</v>
      </c>
    </row>
    <row r="525" spans="1:1" x14ac:dyDescent="0.35">
      <c r="A525" s="10">
        <v>2342954.62</v>
      </c>
    </row>
    <row r="526" spans="1:1" x14ac:dyDescent="0.35">
      <c r="A526" s="10">
        <v>68276.94</v>
      </c>
    </row>
    <row r="527" spans="1:1" x14ac:dyDescent="0.35">
      <c r="A527" s="10">
        <v>460075.2</v>
      </c>
    </row>
    <row r="528" spans="1:1" x14ac:dyDescent="0.35">
      <c r="A528" s="10">
        <v>1481094.06</v>
      </c>
    </row>
    <row r="529" spans="1:1" x14ac:dyDescent="0.35">
      <c r="A529" s="10">
        <v>400857.60000000003</v>
      </c>
    </row>
    <row r="530" spans="1:1" x14ac:dyDescent="0.35">
      <c r="A530" s="10">
        <v>833290.7</v>
      </c>
    </row>
    <row r="531" spans="1:1" x14ac:dyDescent="0.35">
      <c r="A531" s="10">
        <v>1704249.28</v>
      </c>
    </row>
    <row r="532" spans="1:1" x14ac:dyDescent="0.35">
      <c r="A532" s="10">
        <v>2349637.3199999998</v>
      </c>
    </row>
    <row r="533" spans="1:1" x14ac:dyDescent="0.35">
      <c r="A533" s="10">
        <v>2470690.7400000002</v>
      </c>
    </row>
    <row r="534" spans="1:1" x14ac:dyDescent="0.35">
      <c r="A534" s="10">
        <v>774460.5</v>
      </c>
    </row>
    <row r="535" spans="1:1" x14ac:dyDescent="0.35">
      <c r="A535" s="10">
        <v>81376.75</v>
      </c>
    </row>
    <row r="536" spans="1:1" x14ac:dyDescent="0.35">
      <c r="A536" s="10">
        <v>1980084.01</v>
      </c>
    </row>
    <row r="537" spans="1:1" x14ac:dyDescent="0.35">
      <c r="A537" s="10">
        <v>747961.3</v>
      </c>
    </row>
    <row r="538" spans="1:1" x14ac:dyDescent="0.35">
      <c r="A538" s="10">
        <v>1153944.1200000001</v>
      </c>
    </row>
    <row r="539" spans="1:1" x14ac:dyDescent="0.35">
      <c r="A539" s="10">
        <v>5978.7000000000007</v>
      </c>
    </row>
    <row r="540" spans="1:1" x14ac:dyDescent="0.35">
      <c r="A540" s="10">
        <v>690946.29999999993</v>
      </c>
    </row>
    <row r="541" spans="1:1" x14ac:dyDescent="0.35">
      <c r="A541" s="10">
        <v>329492.80000000005</v>
      </c>
    </row>
    <row r="542" spans="1:1" x14ac:dyDescent="0.35">
      <c r="A542" s="10">
        <v>521647.16000000003</v>
      </c>
    </row>
    <row r="543" spans="1:1" x14ac:dyDescent="0.35">
      <c r="A543" s="10">
        <v>3157021.1999999997</v>
      </c>
    </row>
    <row r="544" spans="1:1" x14ac:dyDescent="0.35">
      <c r="A544" s="10">
        <v>158.61000000000001</v>
      </c>
    </row>
    <row r="545" spans="1:1" x14ac:dyDescent="0.35">
      <c r="A545" s="10">
        <v>827764.38</v>
      </c>
    </row>
    <row r="546" spans="1:1" x14ac:dyDescent="0.35">
      <c r="A546" s="10">
        <v>1000187.04</v>
      </c>
    </row>
    <row r="547" spans="1:1" x14ac:dyDescent="0.35">
      <c r="A547" s="10">
        <v>1268397.54</v>
      </c>
    </row>
    <row r="548" spans="1:1" x14ac:dyDescent="0.35">
      <c r="A548" s="10">
        <v>1271149.06</v>
      </c>
    </row>
    <row r="549" spans="1:1" x14ac:dyDescent="0.35">
      <c r="A549" s="10">
        <v>832323.9</v>
      </c>
    </row>
    <row r="550" spans="1:1" x14ac:dyDescent="0.35">
      <c r="A550" s="10">
        <v>948550.4</v>
      </c>
    </row>
    <row r="551" spans="1:1" x14ac:dyDescent="0.35">
      <c r="A551" s="10">
        <v>3809323.6</v>
      </c>
    </row>
    <row r="552" spans="1:1" x14ac:dyDescent="0.35">
      <c r="A552" s="10">
        <v>1422191.19</v>
      </c>
    </row>
    <row r="553" spans="1:1" x14ac:dyDescent="0.35">
      <c r="A553" s="10">
        <v>1672011.54</v>
      </c>
    </row>
    <row r="554" spans="1:1" x14ac:dyDescent="0.35">
      <c r="A554" s="10">
        <v>1995454.22</v>
      </c>
    </row>
    <row r="555" spans="1:1" x14ac:dyDescent="0.35">
      <c r="A555" s="10">
        <v>1575759.15</v>
      </c>
    </row>
    <row r="556" spans="1:1" x14ac:dyDescent="0.35">
      <c r="A556" s="10">
        <v>176398.48</v>
      </c>
    </row>
    <row r="557" spans="1:1" x14ac:dyDescent="0.35">
      <c r="A557" s="10">
        <v>86691.150000000009</v>
      </c>
    </row>
    <row r="558" spans="1:1" x14ac:dyDescent="0.35">
      <c r="A558" s="10">
        <v>442049.3</v>
      </c>
    </row>
    <row r="559" spans="1:1" x14ac:dyDescent="0.35">
      <c r="A559" s="10">
        <v>412435.4</v>
      </c>
    </row>
    <row r="560" spans="1:1" x14ac:dyDescent="0.35">
      <c r="A560" s="10">
        <v>1136081.0999999999</v>
      </c>
    </row>
    <row r="561" spans="1:1" x14ac:dyDescent="0.35">
      <c r="A561" s="10">
        <v>2231913.04</v>
      </c>
    </row>
    <row r="562" spans="1:1" x14ac:dyDescent="0.35">
      <c r="A562" s="10">
        <v>646618.79999999993</v>
      </c>
    </row>
    <row r="563" spans="1:1" x14ac:dyDescent="0.35">
      <c r="A563" s="10">
        <v>5943593.3799999999</v>
      </c>
    </row>
    <row r="564" spans="1:1" x14ac:dyDescent="0.35">
      <c r="A564" s="10">
        <v>811790.4</v>
      </c>
    </row>
    <row r="565" spans="1:1" x14ac:dyDescent="0.35">
      <c r="A565" s="10">
        <v>1760997.7</v>
      </c>
    </row>
    <row r="566" spans="1:1" x14ac:dyDescent="0.35">
      <c r="A566" s="10">
        <v>1294058.7</v>
      </c>
    </row>
    <row r="567" spans="1:1" x14ac:dyDescent="0.35">
      <c r="A567" s="10">
        <v>2464983.6800000002</v>
      </c>
    </row>
    <row r="568" spans="1:1" x14ac:dyDescent="0.35">
      <c r="A568" s="10">
        <v>1369405.5</v>
      </c>
    </row>
    <row r="569" spans="1:1" x14ac:dyDescent="0.35">
      <c r="A569" s="10">
        <v>61531.35</v>
      </c>
    </row>
    <row r="570" spans="1:1" x14ac:dyDescent="0.35">
      <c r="A570" s="10">
        <v>828931.2</v>
      </c>
    </row>
    <row r="571" spans="1:1" x14ac:dyDescent="0.35">
      <c r="A571" s="10">
        <v>2749988</v>
      </c>
    </row>
    <row r="572" spans="1:1" x14ac:dyDescent="0.35">
      <c r="A572" s="10">
        <v>389991.55000000005</v>
      </c>
    </row>
    <row r="573" spans="1:1" x14ac:dyDescent="0.35">
      <c r="A573" s="10">
        <v>1244442.4800000002</v>
      </c>
    </row>
    <row r="574" spans="1:1" x14ac:dyDescent="0.35">
      <c r="A574" s="10">
        <v>294800.11</v>
      </c>
    </row>
    <row r="575" spans="1:1" x14ac:dyDescent="0.35">
      <c r="A575" s="10">
        <v>38318.31</v>
      </c>
    </row>
    <row r="576" spans="1:1" x14ac:dyDescent="0.35">
      <c r="A576" s="10">
        <v>4053782.25</v>
      </c>
    </row>
    <row r="577" spans="1:1" x14ac:dyDescent="0.35">
      <c r="A577" s="10">
        <v>1760380.5999999999</v>
      </c>
    </row>
    <row r="578" spans="1:1" x14ac:dyDescent="0.35">
      <c r="A578" s="10">
        <v>2841851.04</v>
      </c>
    </row>
    <row r="579" spans="1:1" x14ac:dyDescent="0.35">
      <c r="A579" s="10">
        <v>5627501.6699999999</v>
      </c>
    </row>
    <row r="580" spans="1:1" x14ac:dyDescent="0.35">
      <c r="A580" s="10">
        <v>678849.38</v>
      </c>
    </row>
    <row r="581" spans="1:1" x14ac:dyDescent="0.35">
      <c r="A581" s="10">
        <v>640138.39999999991</v>
      </c>
    </row>
    <row r="582" spans="1:1" x14ac:dyDescent="0.35">
      <c r="A582" s="10">
        <v>2884208.4</v>
      </c>
    </row>
    <row r="583" spans="1:1" x14ac:dyDescent="0.35">
      <c r="A583" s="10">
        <v>2959749.45</v>
      </c>
    </row>
    <row r="584" spans="1:1" x14ac:dyDescent="0.35">
      <c r="A584" s="10">
        <v>798829.02</v>
      </c>
    </row>
    <row r="585" spans="1:1" x14ac:dyDescent="0.35">
      <c r="A585" s="10">
        <v>3118110.4</v>
      </c>
    </row>
    <row r="586" spans="1:1" x14ac:dyDescent="0.35">
      <c r="A586" s="10">
        <v>1297082.58</v>
      </c>
    </row>
    <row r="587" spans="1:1" x14ac:dyDescent="0.35">
      <c r="A587" s="10">
        <v>369588.05000000005</v>
      </c>
    </row>
    <row r="588" spans="1:1" x14ac:dyDescent="0.35">
      <c r="A588" s="10">
        <v>649232.48</v>
      </c>
    </row>
    <row r="589" spans="1:1" x14ac:dyDescent="0.35">
      <c r="A589" s="10">
        <v>484658.9</v>
      </c>
    </row>
    <row r="590" spans="1:1" x14ac:dyDescent="0.35">
      <c r="A590" s="10">
        <v>848012.80000000005</v>
      </c>
    </row>
    <row r="591" spans="1:1" x14ac:dyDescent="0.35">
      <c r="A591" s="10">
        <v>32356.44</v>
      </c>
    </row>
    <row r="592" spans="1:1" x14ac:dyDescent="0.35">
      <c r="A592" s="10">
        <v>927301.2</v>
      </c>
    </row>
    <row r="593" spans="1:1" x14ac:dyDescent="0.35">
      <c r="A593" s="10">
        <v>3137529.7800000003</v>
      </c>
    </row>
    <row r="594" spans="1:1" x14ac:dyDescent="0.35">
      <c r="A594" s="10">
        <v>2473407.92</v>
      </c>
    </row>
    <row r="595" spans="1:1" x14ac:dyDescent="0.35">
      <c r="A595" s="10">
        <v>4607053.38</v>
      </c>
    </row>
    <row r="596" spans="1:1" x14ac:dyDescent="0.35">
      <c r="A596" s="10">
        <v>745868.2</v>
      </c>
    </row>
    <row r="597" spans="1:1" x14ac:dyDescent="0.35">
      <c r="A597" s="10">
        <v>2325345.52</v>
      </c>
    </row>
    <row r="598" spans="1:1" x14ac:dyDescent="0.35">
      <c r="A598" s="10">
        <v>2450177.44</v>
      </c>
    </row>
    <row r="599" spans="1:1" x14ac:dyDescent="0.35">
      <c r="A599" s="10">
        <v>2199787.3800000004</v>
      </c>
    </row>
    <row r="600" spans="1:1" x14ac:dyDescent="0.35">
      <c r="A600" s="10">
        <v>880081.44000000006</v>
      </c>
    </row>
    <row r="601" spans="1:1" x14ac:dyDescent="0.35">
      <c r="A601" s="10">
        <v>1736077.3499999999</v>
      </c>
    </row>
    <row r="602" spans="1:1" x14ac:dyDescent="0.35">
      <c r="A602" s="10">
        <v>306093.28000000003</v>
      </c>
    </row>
    <row r="603" spans="1:1" x14ac:dyDescent="0.35">
      <c r="A603" s="10">
        <v>5502535.1799999997</v>
      </c>
    </row>
    <row r="604" spans="1:1" x14ac:dyDescent="0.35">
      <c r="A604" s="10">
        <v>1628495.4</v>
      </c>
    </row>
    <row r="605" spans="1:1" x14ac:dyDescent="0.35">
      <c r="A605" s="10">
        <v>1059355</v>
      </c>
    </row>
    <row r="606" spans="1:1" x14ac:dyDescent="0.35">
      <c r="A606" s="10">
        <v>376693.57</v>
      </c>
    </row>
    <row r="607" spans="1:1" x14ac:dyDescent="0.35">
      <c r="A607" s="10">
        <v>740372</v>
      </c>
    </row>
    <row r="608" spans="1:1" x14ac:dyDescent="0.35">
      <c r="A608" s="10">
        <v>494994.78</v>
      </c>
    </row>
    <row r="609" spans="1:1" x14ac:dyDescent="0.35">
      <c r="A609" s="10">
        <v>1547686.7999999998</v>
      </c>
    </row>
    <row r="610" spans="1:1" x14ac:dyDescent="0.35">
      <c r="A610" s="10">
        <v>36718.080000000002</v>
      </c>
    </row>
    <row r="611" spans="1:1" x14ac:dyDescent="0.35">
      <c r="A611" s="10">
        <v>471106.08</v>
      </c>
    </row>
    <row r="612" spans="1:1" x14ac:dyDescent="0.35">
      <c r="A612" s="10">
        <v>747175.66</v>
      </c>
    </row>
    <row r="613" spans="1:1" x14ac:dyDescent="0.35">
      <c r="A613" s="10">
        <v>4377836.7699999996</v>
      </c>
    </row>
    <row r="614" spans="1:1" x14ac:dyDescent="0.35">
      <c r="A614" s="10">
        <v>3447505.74</v>
      </c>
    </row>
    <row r="615" spans="1:1" x14ac:dyDescent="0.35">
      <c r="A615" s="10">
        <v>292149.65000000002</v>
      </c>
    </row>
    <row r="616" spans="1:1" x14ac:dyDescent="0.35">
      <c r="A616" s="10">
        <v>2935510.62</v>
      </c>
    </row>
    <row r="617" spans="1:1" x14ac:dyDescent="0.35">
      <c r="A617" s="10">
        <v>1551800.7999999998</v>
      </c>
    </row>
    <row r="618" spans="1:1" x14ac:dyDescent="0.35">
      <c r="A618" s="10">
        <v>731773.68</v>
      </c>
    </row>
    <row r="619" spans="1:1" x14ac:dyDescent="0.35">
      <c r="A619" s="10">
        <v>623191.25</v>
      </c>
    </row>
    <row r="620" spans="1:1" x14ac:dyDescent="0.35">
      <c r="A620" s="10">
        <v>18408.09</v>
      </c>
    </row>
    <row r="621" spans="1:1" x14ac:dyDescent="0.35">
      <c r="A621" s="10">
        <v>2452868.46</v>
      </c>
    </row>
    <row r="622" spans="1:1" x14ac:dyDescent="0.35">
      <c r="A622" s="10">
        <v>1815691.5999999999</v>
      </c>
    </row>
    <row r="623" spans="1:1" x14ac:dyDescent="0.35">
      <c r="A623" s="10">
        <v>614287.08000000007</v>
      </c>
    </row>
    <row r="624" spans="1:1" x14ac:dyDescent="0.35">
      <c r="A624" s="10">
        <v>2425415.2799999998</v>
      </c>
    </row>
    <row r="625" spans="1:1" x14ac:dyDescent="0.35">
      <c r="A625" s="10">
        <v>2918310</v>
      </c>
    </row>
    <row r="626" spans="1:1" x14ac:dyDescent="0.35">
      <c r="A626" s="10">
        <v>5799915.3300000001</v>
      </c>
    </row>
    <row r="627" spans="1:1" x14ac:dyDescent="0.35">
      <c r="A627" s="10">
        <v>31981.300000000003</v>
      </c>
    </row>
    <row r="628" spans="1:1" x14ac:dyDescent="0.35">
      <c r="A628" s="10">
        <v>998262.1</v>
      </c>
    </row>
    <row r="629" spans="1:1" x14ac:dyDescent="0.35">
      <c r="A629" s="10">
        <v>50745.87</v>
      </c>
    </row>
    <row r="630" spans="1:1" x14ac:dyDescent="0.35">
      <c r="A630" s="10">
        <v>301256.78000000003</v>
      </c>
    </row>
    <row r="631" spans="1:1" x14ac:dyDescent="0.35">
      <c r="A631" s="10">
        <v>592827.4</v>
      </c>
    </row>
    <row r="632" spans="1:1" x14ac:dyDescent="0.35">
      <c r="A632" s="10">
        <v>273223.39</v>
      </c>
    </row>
    <row r="633" spans="1:1" x14ac:dyDescent="0.35">
      <c r="A633" s="10">
        <v>1893667.04</v>
      </c>
    </row>
    <row r="634" spans="1:1" x14ac:dyDescent="0.35">
      <c r="A634" s="10">
        <v>922975.89999999991</v>
      </c>
    </row>
    <row r="635" spans="1:1" x14ac:dyDescent="0.35">
      <c r="A635" s="10">
        <v>2514464.4</v>
      </c>
    </row>
    <row r="636" spans="1:1" x14ac:dyDescent="0.35">
      <c r="A636" s="10">
        <v>13380.900000000001</v>
      </c>
    </row>
    <row r="637" spans="1:1" x14ac:dyDescent="0.35">
      <c r="A637" s="10">
        <v>5295371.4799999995</v>
      </c>
    </row>
    <row r="638" spans="1:1" x14ac:dyDescent="0.35">
      <c r="A638" s="10">
        <v>4163185.5300000003</v>
      </c>
    </row>
    <row r="639" spans="1:1" x14ac:dyDescent="0.35">
      <c r="A639" s="10">
        <v>3401269.83</v>
      </c>
    </row>
    <row r="640" spans="1:1" x14ac:dyDescent="0.35">
      <c r="A640" s="10">
        <v>202203.09999999998</v>
      </c>
    </row>
    <row r="641" spans="1:1" x14ac:dyDescent="0.35">
      <c r="A641" s="10">
        <v>958112.19</v>
      </c>
    </row>
    <row r="642" spans="1:1" x14ac:dyDescent="0.35">
      <c r="A642" s="10">
        <v>719872.44000000006</v>
      </c>
    </row>
    <row r="643" spans="1:1" x14ac:dyDescent="0.35">
      <c r="A643" s="10">
        <v>2615767.6</v>
      </c>
    </row>
    <row r="644" spans="1:1" x14ac:dyDescent="0.35">
      <c r="A644" s="10">
        <v>494919.60000000003</v>
      </c>
    </row>
    <row r="645" spans="1:1" x14ac:dyDescent="0.35">
      <c r="A645" s="10">
        <v>471663.83</v>
      </c>
    </row>
    <row r="646" spans="1:1" x14ac:dyDescent="0.35">
      <c r="A646" s="10">
        <v>2013680.97</v>
      </c>
    </row>
    <row r="647" spans="1:1" x14ac:dyDescent="0.35">
      <c r="A647" s="10">
        <v>388053.28</v>
      </c>
    </row>
    <row r="648" spans="1:1" x14ac:dyDescent="0.35">
      <c r="A648" s="10">
        <v>2152335.6</v>
      </c>
    </row>
    <row r="649" spans="1:1" x14ac:dyDescent="0.35">
      <c r="A649" s="10">
        <v>34866.21</v>
      </c>
    </row>
    <row r="650" spans="1:1" x14ac:dyDescent="0.35">
      <c r="A650" s="10">
        <v>152998.56</v>
      </c>
    </row>
    <row r="651" spans="1:1" x14ac:dyDescent="0.35">
      <c r="A651" s="10">
        <v>1367345.49</v>
      </c>
    </row>
    <row r="652" spans="1:1" x14ac:dyDescent="0.35">
      <c r="A652" s="10">
        <v>3706725.54</v>
      </c>
    </row>
    <row r="653" spans="1:1" x14ac:dyDescent="0.35">
      <c r="A653" s="10">
        <v>989039.6</v>
      </c>
    </row>
    <row r="654" spans="1:1" x14ac:dyDescent="0.35">
      <c r="A654" s="10">
        <v>864806.88</v>
      </c>
    </row>
    <row r="655" spans="1:1" x14ac:dyDescent="0.35">
      <c r="A655" s="10">
        <v>244586.82</v>
      </c>
    </row>
    <row r="656" spans="1:1" x14ac:dyDescent="0.35">
      <c r="A656" s="10">
        <v>5119616.47</v>
      </c>
    </row>
    <row r="657" spans="1:1" x14ac:dyDescent="0.35">
      <c r="A657" s="10">
        <v>1885643.5999999999</v>
      </c>
    </row>
    <row r="658" spans="1:1" x14ac:dyDescent="0.35">
      <c r="A658" s="10">
        <v>3694777.1999999997</v>
      </c>
    </row>
    <row r="659" spans="1:1" x14ac:dyDescent="0.35">
      <c r="A659" s="10">
        <v>153685.56</v>
      </c>
    </row>
    <row r="660" spans="1:1" x14ac:dyDescent="0.35">
      <c r="A660" s="10">
        <v>1046851.3800000001</v>
      </c>
    </row>
    <row r="661" spans="1:1" x14ac:dyDescent="0.35">
      <c r="A661" s="10">
        <v>824954.72</v>
      </c>
    </row>
    <row r="662" spans="1:1" x14ac:dyDescent="0.35">
      <c r="A662" s="10">
        <v>1759969.2</v>
      </c>
    </row>
    <row r="663" spans="1:1" x14ac:dyDescent="0.35">
      <c r="A663" s="10">
        <v>2084616.48</v>
      </c>
    </row>
    <row r="664" spans="1:1" x14ac:dyDescent="0.35">
      <c r="A664" s="10">
        <v>742365.6</v>
      </c>
    </row>
    <row r="665" spans="1:1" x14ac:dyDescent="0.35">
      <c r="A665" s="10">
        <v>991922.58000000007</v>
      </c>
    </row>
    <row r="666" spans="1:1" x14ac:dyDescent="0.35">
      <c r="A666" s="10">
        <v>64880.82</v>
      </c>
    </row>
    <row r="667" spans="1:1" x14ac:dyDescent="0.35">
      <c r="A667" s="10">
        <v>6327180.3599999994</v>
      </c>
    </row>
    <row r="668" spans="1:1" x14ac:dyDescent="0.35">
      <c r="A668" s="10">
        <v>1539664.5</v>
      </c>
    </row>
    <row r="669" spans="1:1" x14ac:dyDescent="0.35">
      <c r="A669" s="10">
        <v>529610.4</v>
      </c>
    </row>
    <row r="670" spans="1:1" x14ac:dyDescent="0.35">
      <c r="A670" s="10">
        <v>1842660.5999999999</v>
      </c>
    </row>
    <row r="671" spans="1:1" x14ac:dyDescent="0.35">
      <c r="A671" s="10">
        <v>3988126.17</v>
      </c>
    </row>
    <row r="672" spans="1:1" x14ac:dyDescent="0.35">
      <c r="A672" s="10">
        <v>6371954.4500000002</v>
      </c>
    </row>
    <row r="673" spans="1:1" x14ac:dyDescent="0.35">
      <c r="A673" s="10">
        <v>575960</v>
      </c>
    </row>
    <row r="674" spans="1:1" x14ac:dyDescent="0.35">
      <c r="A674" s="10">
        <v>6602507.5999999996</v>
      </c>
    </row>
    <row r="675" spans="1:1" x14ac:dyDescent="0.35">
      <c r="A675" s="10">
        <v>524112.30000000005</v>
      </c>
    </row>
    <row r="676" spans="1:1" x14ac:dyDescent="0.35">
      <c r="A676" s="10">
        <v>649600.6</v>
      </c>
    </row>
    <row r="677" spans="1:1" x14ac:dyDescent="0.35">
      <c r="A677" s="10">
        <v>84473.44</v>
      </c>
    </row>
    <row r="678" spans="1:1" x14ac:dyDescent="0.35">
      <c r="A678" s="10">
        <v>775383.98</v>
      </c>
    </row>
    <row r="679" spans="1:1" x14ac:dyDescent="0.35">
      <c r="A679" s="10">
        <v>1026405.66</v>
      </c>
    </row>
    <row r="680" spans="1:1" x14ac:dyDescent="0.35">
      <c r="A680" s="10">
        <v>2451882.63</v>
      </c>
    </row>
    <row r="681" spans="1:1" x14ac:dyDescent="0.35">
      <c r="A681" s="10">
        <v>624098.07999999996</v>
      </c>
    </row>
    <row r="682" spans="1:1" x14ac:dyDescent="0.35">
      <c r="A682" s="10">
        <v>4253956</v>
      </c>
    </row>
    <row r="683" spans="1:1" x14ac:dyDescent="0.35">
      <c r="A683" s="10">
        <v>707818.62000000011</v>
      </c>
    </row>
    <row r="684" spans="1:1" x14ac:dyDescent="0.35">
      <c r="A684" s="10">
        <v>521437.4</v>
      </c>
    </row>
    <row r="685" spans="1:1" x14ac:dyDescent="0.35">
      <c r="A685" s="10">
        <v>27299.58</v>
      </c>
    </row>
    <row r="686" spans="1:1" x14ac:dyDescent="0.35">
      <c r="A686" s="10">
        <v>3916404.8699999996</v>
      </c>
    </row>
    <row r="687" spans="1:1" x14ac:dyDescent="0.35">
      <c r="A687" s="10">
        <v>379313.88</v>
      </c>
    </row>
    <row r="688" spans="1:1" x14ac:dyDescent="0.35">
      <c r="A688" s="10">
        <v>1358237.0999999999</v>
      </c>
    </row>
    <row r="689" spans="1:1" x14ac:dyDescent="0.35">
      <c r="A689" s="10">
        <v>5035806.9300000006</v>
      </c>
    </row>
    <row r="690" spans="1:1" x14ac:dyDescent="0.35">
      <c r="A690" s="10">
        <v>5863494.8400000008</v>
      </c>
    </row>
    <row r="691" spans="1:1" x14ac:dyDescent="0.35">
      <c r="A691" s="10">
        <v>52061.4</v>
      </c>
    </row>
    <row r="692" spans="1:1" x14ac:dyDescent="0.35">
      <c r="A692" s="10">
        <v>1486833.06</v>
      </c>
    </row>
    <row r="693" spans="1:1" x14ac:dyDescent="0.35">
      <c r="A693" s="10">
        <v>444692.93</v>
      </c>
    </row>
    <row r="694" spans="1:1" x14ac:dyDescent="0.35">
      <c r="A694" s="10">
        <v>647976.36</v>
      </c>
    </row>
    <row r="695" spans="1:1" x14ac:dyDescent="0.35">
      <c r="A695" s="10">
        <v>86134.56</v>
      </c>
    </row>
    <row r="696" spans="1:1" x14ac:dyDescent="0.35">
      <c r="A696" s="10">
        <v>68326.28</v>
      </c>
    </row>
    <row r="697" spans="1:1" x14ac:dyDescent="0.35">
      <c r="A697" s="10">
        <v>64816.700000000004</v>
      </c>
    </row>
    <row r="698" spans="1:1" x14ac:dyDescent="0.35">
      <c r="A698" s="10">
        <v>1884.66</v>
      </c>
    </row>
    <row r="699" spans="1:1" x14ac:dyDescent="0.35">
      <c r="A699" s="10">
        <v>1801109.2</v>
      </c>
    </row>
    <row r="700" spans="1:1" x14ac:dyDescent="0.35">
      <c r="A700" s="10">
        <v>1125179</v>
      </c>
    </row>
    <row r="701" spans="1:1" x14ac:dyDescent="0.35">
      <c r="A701" s="10">
        <v>546644.86</v>
      </c>
    </row>
    <row r="702" spans="1:1" x14ac:dyDescent="0.35">
      <c r="A702" s="10">
        <v>972034.55999999994</v>
      </c>
    </row>
    <row r="703" spans="1:1" x14ac:dyDescent="0.35">
      <c r="A703" s="10">
        <v>1444017.12</v>
      </c>
    </row>
    <row r="704" spans="1:1" x14ac:dyDescent="0.35">
      <c r="A704" s="10">
        <v>2263567.7600000002</v>
      </c>
    </row>
    <row r="705" spans="1:1" x14ac:dyDescent="0.35">
      <c r="A705" s="10">
        <v>1873927</v>
      </c>
    </row>
    <row r="706" spans="1:1" x14ac:dyDescent="0.35">
      <c r="A706" s="10">
        <v>897245.44000000006</v>
      </c>
    </row>
    <row r="707" spans="1:1" x14ac:dyDescent="0.35">
      <c r="A707" s="10">
        <v>1017556.0200000001</v>
      </c>
    </row>
    <row r="708" spans="1:1" x14ac:dyDescent="0.35">
      <c r="A708" s="10">
        <v>2673938.8199999998</v>
      </c>
    </row>
    <row r="709" spans="1:1" x14ac:dyDescent="0.35">
      <c r="A709" s="10">
        <v>14508.15</v>
      </c>
    </row>
    <row r="710" spans="1:1" x14ac:dyDescent="0.35">
      <c r="A710" s="10">
        <v>1550826</v>
      </c>
    </row>
    <row r="711" spans="1:1" x14ac:dyDescent="0.35">
      <c r="A711" s="10">
        <v>53022.39</v>
      </c>
    </row>
    <row r="712" spans="1:1" x14ac:dyDescent="0.35">
      <c r="A712" s="10">
        <v>151697.65000000002</v>
      </c>
    </row>
    <row r="713" spans="1:1" x14ac:dyDescent="0.35">
      <c r="A713" s="10">
        <v>1462270.74</v>
      </c>
    </row>
    <row r="714" spans="1:1" x14ac:dyDescent="0.35">
      <c r="A714" s="10">
        <v>3530797.4099999997</v>
      </c>
    </row>
    <row r="715" spans="1:1" x14ac:dyDescent="0.35">
      <c r="A715" s="10">
        <v>280081.08</v>
      </c>
    </row>
    <row r="716" spans="1:1" x14ac:dyDescent="0.35">
      <c r="A716" s="10">
        <v>2006508.8399999999</v>
      </c>
    </row>
    <row r="717" spans="1:1" x14ac:dyDescent="0.35">
      <c r="A717" s="10">
        <v>39313.120000000003</v>
      </c>
    </row>
    <row r="718" spans="1:1" x14ac:dyDescent="0.35">
      <c r="A718" s="10">
        <v>1235561.2</v>
      </c>
    </row>
    <row r="719" spans="1:1" x14ac:dyDescent="0.35">
      <c r="A719" s="10">
        <v>59775.28</v>
      </c>
    </row>
    <row r="720" spans="1:1" x14ac:dyDescent="0.35">
      <c r="A720" s="10">
        <v>974583.56</v>
      </c>
    </row>
    <row r="721" spans="1:1" x14ac:dyDescent="0.35">
      <c r="A721" s="10">
        <v>1769856.24</v>
      </c>
    </row>
    <row r="722" spans="1:1" x14ac:dyDescent="0.35">
      <c r="A722" s="10">
        <v>143020.71</v>
      </c>
    </row>
    <row r="723" spans="1:1" x14ac:dyDescent="0.35">
      <c r="A723" s="10">
        <v>4365711.84</v>
      </c>
    </row>
    <row r="724" spans="1:1" x14ac:dyDescent="0.35">
      <c r="A724" s="10">
        <v>2152497.67</v>
      </c>
    </row>
    <row r="725" spans="1:1" x14ac:dyDescent="0.35">
      <c r="A725" s="10">
        <v>996087.2</v>
      </c>
    </row>
    <row r="726" spans="1:1" x14ac:dyDescent="0.35">
      <c r="A726" s="10">
        <v>98444.34</v>
      </c>
    </row>
    <row r="727" spans="1:1" x14ac:dyDescent="0.35">
      <c r="A727" s="10">
        <v>927533.82000000007</v>
      </c>
    </row>
    <row r="728" spans="1:1" x14ac:dyDescent="0.35">
      <c r="A728" s="10">
        <v>82397.119999999995</v>
      </c>
    </row>
    <row r="729" spans="1:1" x14ac:dyDescent="0.35">
      <c r="A729" s="10">
        <v>309968.72000000003</v>
      </c>
    </row>
    <row r="730" spans="1:1" x14ac:dyDescent="0.35">
      <c r="A730" s="10">
        <v>1080344.96</v>
      </c>
    </row>
    <row r="731" spans="1:1" x14ac:dyDescent="0.35">
      <c r="A731" s="10">
        <v>418105.28</v>
      </c>
    </row>
    <row r="732" spans="1:1" x14ac:dyDescent="0.35">
      <c r="A732" s="10">
        <v>646328.88</v>
      </c>
    </row>
    <row r="733" spans="1:1" x14ac:dyDescent="0.35">
      <c r="A733" s="10">
        <v>409219.2</v>
      </c>
    </row>
    <row r="734" spans="1:1" x14ac:dyDescent="0.35">
      <c r="A734" s="10">
        <v>702779.68</v>
      </c>
    </row>
    <row r="735" spans="1:1" x14ac:dyDescent="0.35">
      <c r="A735" s="10">
        <v>3423410.97</v>
      </c>
    </row>
    <row r="736" spans="1:1" x14ac:dyDescent="0.35">
      <c r="A736" s="10">
        <v>1847391.7</v>
      </c>
    </row>
    <row r="737" spans="1:1" x14ac:dyDescent="0.35">
      <c r="A737" s="10">
        <v>185026.06</v>
      </c>
    </row>
    <row r="738" spans="1:1" x14ac:dyDescent="0.35">
      <c r="A738" s="10">
        <v>388926.42000000004</v>
      </c>
    </row>
    <row r="739" spans="1:1" x14ac:dyDescent="0.35">
      <c r="A739" s="10">
        <v>1169198.8</v>
      </c>
    </row>
    <row r="740" spans="1:1" x14ac:dyDescent="0.35">
      <c r="A740" s="10">
        <v>32784</v>
      </c>
    </row>
    <row r="741" spans="1:1" x14ac:dyDescent="0.35">
      <c r="A741" s="10">
        <v>2072618.32</v>
      </c>
    </row>
    <row r="742" spans="1:1" x14ac:dyDescent="0.35">
      <c r="A742" s="10">
        <v>5143256.58</v>
      </c>
    </row>
    <row r="743" spans="1:1" x14ac:dyDescent="0.35">
      <c r="A743" s="10">
        <v>107472.88</v>
      </c>
    </row>
    <row r="744" spans="1:1" x14ac:dyDescent="0.35">
      <c r="A744" s="10">
        <v>895011.68</v>
      </c>
    </row>
    <row r="745" spans="1:1" x14ac:dyDescent="0.35">
      <c r="A745" s="10">
        <v>572273.46000000008</v>
      </c>
    </row>
    <row r="746" spans="1:1" x14ac:dyDescent="0.35">
      <c r="A746" s="10">
        <v>5205823.3</v>
      </c>
    </row>
    <row r="747" spans="1:1" x14ac:dyDescent="0.35">
      <c r="A747" s="10">
        <v>44588.07</v>
      </c>
    </row>
    <row r="748" spans="1:1" x14ac:dyDescent="0.35">
      <c r="A748" s="10">
        <v>1710326.4</v>
      </c>
    </row>
    <row r="749" spans="1:1" x14ac:dyDescent="0.35">
      <c r="A749" s="10">
        <v>650834.79999999993</v>
      </c>
    </row>
    <row r="750" spans="1:1" x14ac:dyDescent="0.35">
      <c r="A750" s="10">
        <v>357678.10000000003</v>
      </c>
    </row>
    <row r="751" spans="1:1" x14ac:dyDescent="0.35">
      <c r="A751" s="10">
        <v>1779841.2</v>
      </c>
    </row>
    <row r="752" spans="1:1" x14ac:dyDescent="0.35">
      <c r="A752" s="10">
        <v>1052229.8</v>
      </c>
    </row>
    <row r="753" spans="1:1" x14ac:dyDescent="0.35">
      <c r="A753" s="10">
        <v>90866.75</v>
      </c>
    </row>
    <row r="754" spans="1:1" x14ac:dyDescent="0.35">
      <c r="A754" s="10">
        <v>378063.24</v>
      </c>
    </row>
    <row r="755" spans="1:1" x14ac:dyDescent="0.35">
      <c r="A755" s="10">
        <v>550813.80000000005</v>
      </c>
    </row>
    <row r="756" spans="1:1" x14ac:dyDescent="0.35">
      <c r="A756" s="10">
        <v>1155488.3400000001</v>
      </c>
    </row>
    <row r="757" spans="1:1" x14ac:dyDescent="0.35">
      <c r="A757" s="10">
        <v>3746366.8</v>
      </c>
    </row>
    <row r="758" spans="1:1" x14ac:dyDescent="0.35">
      <c r="A758" s="10">
        <v>3432894.4</v>
      </c>
    </row>
    <row r="759" spans="1:1" x14ac:dyDescent="0.35">
      <c r="A759" s="10">
        <v>5818626.8899999997</v>
      </c>
    </row>
    <row r="760" spans="1:1" x14ac:dyDescent="0.35">
      <c r="A760" s="10">
        <v>158893.12</v>
      </c>
    </row>
    <row r="761" spans="1:1" x14ac:dyDescent="0.35">
      <c r="A761" s="10">
        <v>1735902.2999999998</v>
      </c>
    </row>
    <row r="762" spans="1:1" x14ac:dyDescent="0.35">
      <c r="A762" s="10">
        <v>739084.39</v>
      </c>
    </row>
    <row r="763" spans="1:1" x14ac:dyDescent="0.35">
      <c r="A763" s="10">
        <v>511102.56</v>
      </c>
    </row>
    <row r="764" spans="1:1" x14ac:dyDescent="0.35">
      <c r="A764" s="10">
        <v>2463527.4300000002</v>
      </c>
    </row>
    <row r="765" spans="1:1" x14ac:dyDescent="0.35">
      <c r="A765" s="10">
        <v>324368.2</v>
      </c>
    </row>
    <row r="766" spans="1:1" x14ac:dyDescent="0.35">
      <c r="A766" s="10">
        <v>204457.2</v>
      </c>
    </row>
    <row r="767" spans="1:1" x14ac:dyDescent="0.35">
      <c r="A767" s="10">
        <v>4447764.3</v>
      </c>
    </row>
    <row r="768" spans="1:1" x14ac:dyDescent="0.35">
      <c r="A768" s="10">
        <v>2521145.2799999998</v>
      </c>
    </row>
    <row r="769" spans="1:1" x14ac:dyDescent="0.35">
      <c r="A769" s="10">
        <v>1384510.9200000002</v>
      </c>
    </row>
    <row r="770" spans="1:1" x14ac:dyDescent="0.35">
      <c r="A770" s="10">
        <v>11313.5</v>
      </c>
    </row>
    <row r="771" spans="1:1" x14ac:dyDescent="0.35">
      <c r="A771" s="10">
        <v>320769.59999999998</v>
      </c>
    </row>
    <row r="772" spans="1:1" x14ac:dyDescent="0.35">
      <c r="A772" s="10">
        <v>550989.76</v>
      </c>
    </row>
    <row r="773" spans="1:1" x14ac:dyDescent="0.35">
      <c r="A773" s="10">
        <v>95444.799999999988</v>
      </c>
    </row>
    <row r="774" spans="1:1" x14ac:dyDescent="0.35">
      <c r="A774" s="10">
        <v>334803.27</v>
      </c>
    </row>
    <row r="775" spans="1:1" x14ac:dyDescent="0.35">
      <c r="A775" s="10">
        <v>239963.2</v>
      </c>
    </row>
    <row r="776" spans="1:1" x14ac:dyDescent="0.35">
      <c r="A776" s="10">
        <v>218080.2</v>
      </c>
    </row>
    <row r="777" spans="1:1" x14ac:dyDescent="0.35">
      <c r="A777" s="10">
        <v>299884</v>
      </c>
    </row>
    <row r="778" spans="1:1" x14ac:dyDescent="0.35">
      <c r="A778" s="10">
        <v>5340145.57</v>
      </c>
    </row>
    <row r="779" spans="1:1" x14ac:dyDescent="0.35">
      <c r="A779" s="10">
        <v>2292259.2000000002</v>
      </c>
    </row>
    <row r="780" spans="1:1" x14ac:dyDescent="0.35">
      <c r="A780" s="10">
        <v>2572839.5</v>
      </c>
    </row>
    <row r="781" spans="1:1" x14ac:dyDescent="0.35">
      <c r="A781" s="10">
        <v>824373.05999999994</v>
      </c>
    </row>
    <row r="782" spans="1:1" x14ac:dyDescent="0.35">
      <c r="A782" s="10">
        <v>5103532.7700000005</v>
      </c>
    </row>
    <row r="783" spans="1:1" x14ac:dyDescent="0.35">
      <c r="A783" s="10">
        <v>1545502</v>
      </c>
    </row>
    <row r="784" spans="1:1" x14ac:dyDescent="0.35">
      <c r="A784" s="10">
        <v>3548315.1999999997</v>
      </c>
    </row>
    <row r="785" spans="1:1" x14ac:dyDescent="0.35">
      <c r="A785" s="10">
        <v>550864.6</v>
      </c>
    </row>
    <row r="786" spans="1:1" x14ac:dyDescent="0.35">
      <c r="A786" s="10">
        <v>1366003.28</v>
      </c>
    </row>
    <row r="787" spans="1:1" x14ac:dyDescent="0.35">
      <c r="A787" s="10">
        <v>514653.81</v>
      </c>
    </row>
    <row r="788" spans="1:1" x14ac:dyDescent="0.35">
      <c r="A788" s="10">
        <v>295820.96000000002</v>
      </c>
    </row>
    <row r="789" spans="1:1" x14ac:dyDescent="0.35">
      <c r="A789" s="10">
        <v>180547.25</v>
      </c>
    </row>
    <row r="790" spans="1:1" x14ac:dyDescent="0.35">
      <c r="A790" s="10">
        <v>891982.68</v>
      </c>
    </row>
    <row r="791" spans="1:1" x14ac:dyDescent="0.35">
      <c r="A791" s="10">
        <v>1085911.8600000001</v>
      </c>
    </row>
    <row r="792" spans="1:1" x14ac:dyDescent="0.35">
      <c r="A792" s="10">
        <v>1237825.26</v>
      </c>
    </row>
    <row r="793" spans="1:1" x14ac:dyDescent="0.35">
      <c r="A793" s="10">
        <v>133087.9</v>
      </c>
    </row>
    <row r="794" spans="1:1" x14ac:dyDescent="0.35">
      <c r="A794" s="10">
        <v>219930.75</v>
      </c>
    </row>
    <row r="795" spans="1:1" x14ac:dyDescent="0.35">
      <c r="A795" s="10">
        <v>269261.3</v>
      </c>
    </row>
    <row r="796" spans="1:1" x14ac:dyDescent="0.35">
      <c r="A796" s="10">
        <v>627408.96000000008</v>
      </c>
    </row>
    <row r="797" spans="1:1" x14ac:dyDescent="0.35">
      <c r="A797" s="10">
        <v>404131.65</v>
      </c>
    </row>
    <row r="798" spans="1:1" x14ac:dyDescent="0.35">
      <c r="A798" s="10">
        <v>4697938.0999999996</v>
      </c>
    </row>
    <row r="799" spans="1:1" x14ac:dyDescent="0.35">
      <c r="A799" s="10">
        <v>342040.05</v>
      </c>
    </row>
    <row r="800" spans="1:1" x14ac:dyDescent="0.35">
      <c r="A800" s="10">
        <v>169602.56</v>
      </c>
    </row>
    <row r="801" spans="1:1" x14ac:dyDescent="0.35">
      <c r="A801" s="10">
        <v>1823040.56</v>
      </c>
    </row>
    <row r="802" spans="1:1" x14ac:dyDescent="0.35">
      <c r="A802" s="10">
        <v>3647559.6</v>
      </c>
    </row>
    <row r="803" spans="1:1" x14ac:dyDescent="0.35">
      <c r="A803" s="10">
        <v>86470.340000000011</v>
      </c>
    </row>
    <row r="804" spans="1:1" x14ac:dyDescent="0.35">
      <c r="A804" s="10">
        <v>46259.18</v>
      </c>
    </row>
    <row r="805" spans="1:1" x14ac:dyDescent="0.35">
      <c r="A805" s="10">
        <v>3624456.9899999998</v>
      </c>
    </row>
    <row r="806" spans="1:1" x14ac:dyDescent="0.35">
      <c r="A806" s="10">
        <v>2597565.4899999998</v>
      </c>
    </row>
    <row r="807" spans="1:1" x14ac:dyDescent="0.35">
      <c r="A807" s="10">
        <v>67549.2</v>
      </c>
    </row>
    <row r="808" spans="1:1" x14ac:dyDescent="0.35">
      <c r="A808" s="10">
        <v>528629.64</v>
      </c>
    </row>
    <row r="809" spans="1:1" x14ac:dyDescent="0.35">
      <c r="A809" s="10">
        <v>115974.87000000001</v>
      </c>
    </row>
    <row r="810" spans="1:1" x14ac:dyDescent="0.35">
      <c r="A810" s="10">
        <v>5843958.54</v>
      </c>
    </row>
    <row r="811" spans="1:1" x14ac:dyDescent="0.35">
      <c r="A811" s="10">
        <v>1227200.9400000002</v>
      </c>
    </row>
    <row r="812" spans="1:1" x14ac:dyDescent="0.35">
      <c r="A812" s="10">
        <v>216799.05000000002</v>
      </c>
    </row>
    <row r="813" spans="1:1" x14ac:dyDescent="0.35">
      <c r="A813" s="10">
        <v>60887.58</v>
      </c>
    </row>
    <row r="814" spans="1:1" x14ac:dyDescent="0.35">
      <c r="A814" s="10">
        <v>728786.41</v>
      </c>
    </row>
    <row r="815" spans="1:1" x14ac:dyDescent="0.35">
      <c r="A815" s="10">
        <v>717671.13</v>
      </c>
    </row>
    <row r="816" spans="1:1" x14ac:dyDescent="0.35">
      <c r="A816" s="10">
        <v>19998.240000000002</v>
      </c>
    </row>
    <row r="817" spans="1:1" x14ac:dyDescent="0.35">
      <c r="A817" s="10">
        <v>753714.06</v>
      </c>
    </row>
    <row r="818" spans="1:1" x14ac:dyDescent="0.35">
      <c r="A818" s="10">
        <v>3809244.81</v>
      </c>
    </row>
    <row r="819" spans="1:1" x14ac:dyDescent="0.35">
      <c r="A819" s="10">
        <v>3184306.55</v>
      </c>
    </row>
    <row r="820" spans="1:1" x14ac:dyDescent="0.35">
      <c r="A820" s="10">
        <v>5614081.4100000001</v>
      </c>
    </row>
    <row r="821" spans="1:1" x14ac:dyDescent="0.35">
      <c r="A821" s="10">
        <v>228803.90000000002</v>
      </c>
    </row>
    <row r="822" spans="1:1" x14ac:dyDescent="0.35">
      <c r="A822" s="10">
        <v>43123.26</v>
      </c>
    </row>
    <row r="823" spans="1:1" x14ac:dyDescent="0.35">
      <c r="A823" s="10">
        <v>12203.64</v>
      </c>
    </row>
    <row r="824" spans="1:1" x14ac:dyDescent="0.35">
      <c r="A824" s="10">
        <v>1069022.8999999999</v>
      </c>
    </row>
    <row r="825" spans="1:1" x14ac:dyDescent="0.35">
      <c r="A825" s="10">
        <v>5624500.7700000005</v>
      </c>
    </row>
    <row r="826" spans="1:1" x14ac:dyDescent="0.35">
      <c r="A826" s="10">
        <v>207345.59999999998</v>
      </c>
    </row>
    <row r="827" spans="1:1" x14ac:dyDescent="0.35">
      <c r="A827" s="10">
        <v>2487969.21</v>
      </c>
    </row>
    <row r="828" spans="1:1" x14ac:dyDescent="0.35">
      <c r="A828" s="10">
        <v>1333072.1599999999</v>
      </c>
    </row>
    <row r="829" spans="1:1" x14ac:dyDescent="0.35">
      <c r="A829" s="10">
        <v>921124.74</v>
      </c>
    </row>
    <row r="830" spans="1:1" x14ac:dyDescent="0.35">
      <c r="A830" s="10">
        <v>32664.33</v>
      </c>
    </row>
    <row r="831" spans="1:1" x14ac:dyDescent="0.35">
      <c r="A831" s="10">
        <v>1505929.7</v>
      </c>
    </row>
    <row r="832" spans="1:1" x14ac:dyDescent="0.35">
      <c r="A832" s="10">
        <v>37403.97</v>
      </c>
    </row>
    <row r="833" spans="1:1" x14ac:dyDescent="0.35">
      <c r="A833" s="10">
        <v>330030.54000000004</v>
      </c>
    </row>
    <row r="834" spans="1:1" x14ac:dyDescent="0.35">
      <c r="A834" s="10">
        <v>1891880.08</v>
      </c>
    </row>
    <row r="835" spans="1:1" x14ac:dyDescent="0.35">
      <c r="A835" s="10">
        <v>810529.76</v>
      </c>
    </row>
    <row r="836" spans="1:1" x14ac:dyDescent="0.35">
      <c r="A836" s="10">
        <v>64106.43</v>
      </c>
    </row>
    <row r="837" spans="1:1" x14ac:dyDescent="0.35">
      <c r="A837" s="10">
        <v>1092125.5999999999</v>
      </c>
    </row>
    <row r="838" spans="1:1" x14ac:dyDescent="0.35">
      <c r="A838" s="10">
        <v>3397480.17</v>
      </c>
    </row>
    <row r="839" spans="1:1" x14ac:dyDescent="0.35">
      <c r="A839" s="10">
        <v>1422198.1800000002</v>
      </c>
    </row>
    <row r="840" spans="1:1" x14ac:dyDescent="0.35">
      <c r="A840" s="10">
        <v>1876189.7</v>
      </c>
    </row>
    <row r="841" spans="1:1" x14ac:dyDescent="0.35">
      <c r="A841" s="10">
        <v>187979</v>
      </c>
    </row>
    <row r="842" spans="1:1" x14ac:dyDescent="0.35">
      <c r="A842" s="10">
        <v>188396.64</v>
      </c>
    </row>
    <row r="843" spans="1:1" x14ac:dyDescent="0.35">
      <c r="A843" s="10">
        <v>682200.31</v>
      </c>
    </row>
    <row r="844" spans="1:1" x14ac:dyDescent="0.35">
      <c r="A844" s="10">
        <v>1549549.6</v>
      </c>
    </row>
    <row r="845" spans="1:1" x14ac:dyDescent="0.35">
      <c r="A845" s="10">
        <v>64181.07</v>
      </c>
    </row>
    <row r="846" spans="1:1" x14ac:dyDescent="0.35">
      <c r="A846" s="10">
        <v>520582.32999999996</v>
      </c>
    </row>
    <row r="847" spans="1:1" x14ac:dyDescent="0.35">
      <c r="A847" s="10">
        <v>91499.31</v>
      </c>
    </row>
    <row r="848" spans="1:1" x14ac:dyDescent="0.35">
      <c r="A848" s="10">
        <v>1325153.2</v>
      </c>
    </row>
    <row r="849" spans="1:1" x14ac:dyDescent="0.35">
      <c r="A849" s="10">
        <v>238484.88</v>
      </c>
    </row>
    <row r="850" spans="1:1" x14ac:dyDescent="0.35">
      <c r="A850" s="10">
        <v>381277.92</v>
      </c>
    </row>
    <row r="851" spans="1:1" x14ac:dyDescent="0.35">
      <c r="A851" s="10">
        <v>2301093.92</v>
      </c>
    </row>
    <row r="852" spans="1:1" x14ac:dyDescent="0.35">
      <c r="A852" s="10">
        <v>1357323.76</v>
      </c>
    </row>
    <row r="853" spans="1:1" x14ac:dyDescent="0.35">
      <c r="A853" s="10">
        <v>15114.6</v>
      </c>
    </row>
    <row r="854" spans="1:1" x14ac:dyDescent="0.35">
      <c r="A854" s="10">
        <v>2721406.5900000003</v>
      </c>
    </row>
    <row r="855" spans="1:1" x14ac:dyDescent="0.35">
      <c r="A855" s="10">
        <v>326758.40000000002</v>
      </c>
    </row>
    <row r="856" spans="1:1" x14ac:dyDescent="0.35">
      <c r="A856" s="10">
        <v>3476373.6</v>
      </c>
    </row>
    <row r="857" spans="1:1" x14ac:dyDescent="0.35">
      <c r="A857" s="10">
        <v>614714.24</v>
      </c>
    </row>
    <row r="858" spans="1:1" x14ac:dyDescent="0.35">
      <c r="A858" s="10">
        <v>2083850.64</v>
      </c>
    </row>
    <row r="859" spans="1:1" x14ac:dyDescent="0.35">
      <c r="A859" s="10">
        <v>156676.41</v>
      </c>
    </row>
    <row r="860" spans="1:1" x14ac:dyDescent="0.35">
      <c r="A860" s="10">
        <v>337511.85000000003</v>
      </c>
    </row>
    <row r="861" spans="1:1" x14ac:dyDescent="0.35">
      <c r="A861" s="10">
        <v>437631.35000000003</v>
      </c>
    </row>
    <row r="862" spans="1:1" x14ac:dyDescent="0.35">
      <c r="A862" s="10">
        <v>503207.31</v>
      </c>
    </row>
    <row r="863" spans="1:1" x14ac:dyDescent="0.35">
      <c r="A863" s="10">
        <v>296040.55000000005</v>
      </c>
    </row>
    <row r="864" spans="1:1" x14ac:dyDescent="0.35">
      <c r="A864" s="10">
        <v>592379.04</v>
      </c>
    </row>
    <row r="865" spans="1:1" x14ac:dyDescent="0.35">
      <c r="A865" s="10">
        <v>68846.070000000007</v>
      </c>
    </row>
    <row r="866" spans="1:1" x14ac:dyDescent="0.35">
      <c r="A866" s="10">
        <v>4852308.47</v>
      </c>
    </row>
    <row r="867" spans="1:1" x14ac:dyDescent="0.35">
      <c r="A867" s="10">
        <v>89166.81</v>
      </c>
    </row>
    <row r="868" spans="1:1" x14ac:dyDescent="0.35">
      <c r="A868" s="10">
        <v>2645012.66</v>
      </c>
    </row>
    <row r="869" spans="1:1" x14ac:dyDescent="0.35">
      <c r="A869" s="10">
        <v>449865.89999999997</v>
      </c>
    </row>
    <row r="870" spans="1:1" x14ac:dyDescent="0.35">
      <c r="A870" s="10">
        <v>617305.69999999995</v>
      </c>
    </row>
    <row r="871" spans="1:1" x14ac:dyDescent="0.35">
      <c r="A871" s="10">
        <v>785067.52000000002</v>
      </c>
    </row>
    <row r="872" spans="1:1" x14ac:dyDescent="0.35">
      <c r="A872" s="10">
        <v>393623.3</v>
      </c>
    </row>
    <row r="873" spans="1:1" x14ac:dyDescent="0.35">
      <c r="A873" s="10">
        <v>1367269.3800000001</v>
      </c>
    </row>
    <row r="874" spans="1:1" x14ac:dyDescent="0.35">
      <c r="A874" s="10">
        <v>505778.98</v>
      </c>
    </row>
    <row r="875" spans="1:1" x14ac:dyDescent="0.35">
      <c r="A875" s="10">
        <v>2962440.91</v>
      </c>
    </row>
    <row r="876" spans="1:1" x14ac:dyDescent="0.35">
      <c r="A876" s="10">
        <v>1274195.58</v>
      </c>
    </row>
    <row r="877" spans="1:1" x14ac:dyDescent="0.35">
      <c r="A877" s="10">
        <v>1271154.57</v>
      </c>
    </row>
    <row r="878" spans="1:1" x14ac:dyDescent="0.35">
      <c r="A878" s="10">
        <v>2228440.62</v>
      </c>
    </row>
    <row r="879" spans="1:1" x14ac:dyDescent="0.35">
      <c r="A879" s="10">
        <v>2892078</v>
      </c>
    </row>
    <row r="880" spans="1:1" x14ac:dyDescent="0.35">
      <c r="A880" s="10">
        <v>4337058.6000000006</v>
      </c>
    </row>
    <row r="881" spans="1:1" x14ac:dyDescent="0.35">
      <c r="A881" s="10">
        <v>6287432.5500000007</v>
      </c>
    </row>
    <row r="882" spans="1:1" x14ac:dyDescent="0.35">
      <c r="A882" s="10">
        <v>953905.12</v>
      </c>
    </row>
    <row r="883" spans="1:1" x14ac:dyDescent="0.35">
      <c r="A883" s="10">
        <v>739247.85000000009</v>
      </c>
    </row>
    <row r="884" spans="1:1" x14ac:dyDescent="0.35">
      <c r="A884" s="10">
        <v>26068.02</v>
      </c>
    </row>
    <row r="885" spans="1:1" x14ac:dyDescent="0.35">
      <c r="A885" s="10">
        <v>640836</v>
      </c>
    </row>
    <row r="886" spans="1:1" x14ac:dyDescent="0.35">
      <c r="A886" s="10">
        <v>1905677.13</v>
      </c>
    </row>
    <row r="887" spans="1:1" x14ac:dyDescent="0.35">
      <c r="A887" s="10">
        <v>1446688.0999999999</v>
      </c>
    </row>
    <row r="888" spans="1:1" x14ac:dyDescent="0.35">
      <c r="A888" s="10">
        <v>1379977.55</v>
      </c>
    </row>
    <row r="889" spans="1:1" x14ac:dyDescent="0.35">
      <c r="A889" s="10">
        <v>93002</v>
      </c>
    </row>
    <row r="890" spans="1:1" x14ac:dyDescent="0.35">
      <c r="A890" s="10">
        <v>666498.72</v>
      </c>
    </row>
    <row r="891" spans="1:1" x14ac:dyDescent="0.35">
      <c r="A891" s="10">
        <v>899153.94000000006</v>
      </c>
    </row>
    <row r="892" spans="1:1" x14ac:dyDescent="0.35">
      <c r="A892" s="10">
        <v>6539021.9500000002</v>
      </c>
    </row>
    <row r="893" spans="1:1" x14ac:dyDescent="0.35">
      <c r="A893" s="10">
        <v>391367.60000000003</v>
      </c>
    </row>
    <row r="894" spans="1:1" x14ac:dyDescent="0.35">
      <c r="A894" s="10">
        <v>416943.15</v>
      </c>
    </row>
    <row r="895" spans="1:1" x14ac:dyDescent="0.35">
      <c r="A895" s="10">
        <v>192740.9</v>
      </c>
    </row>
    <row r="896" spans="1:1" x14ac:dyDescent="0.35">
      <c r="A896" s="10">
        <v>847366.36</v>
      </c>
    </row>
    <row r="897" spans="1:1" x14ac:dyDescent="0.35">
      <c r="A897" s="10">
        <v>2138225.2799999998</v>
      </c>
    </row>
    <row r="898" spans="1:1" x14ac:dyDescent="0.35">
      <c r="A898" s="10">
        <v>1623590.0999999999</v>
      </c>
    </row>
    <row r="899" spans="1:1" x14ac:dyDescent="0.35">
      <c r="A899" s="10">
        <v>1908983.84</v>
      </c>
    </row>
    <row r="900" spans="1:1" x14ac:dyDescent="0.35">
      <c r="A900" s="10">
        <v>278458.5</v>
      </c>
    </row>
    <row r="901" spans="1:1" x14ac:dyDescent="0.35">
      <c r="A901" s="10">
        <v>4986314.9700000007</v>
      </c>
    </row>
    <row r="902" spans="1:1" x14ac:dyDescent="0.35">
      <c r="A902" s="10">
        <v>3683099.6999999997</v>
      </c>
    </row>
    <row r="903" spans="1:1" x14ac:dyDescent="0.35">
      <c r="A903" s="10">
        <v>39288.600000000006</v>
      </c>
    </row>
    <row r="904" spans="1:1" x14ac:dyDescent="0.35">
      <c r="A904" s="10">
        <v>4408691.7</v>
      </c>
    </row>
    <row r="905" spans="1:1" x14ac:dyDescent="0.35">
      <c r="A905" s="10">
        <v>216300.24</v>
      </c>
    </row>
    <row r="906" spans="1:1" x14ac:dyDescent="0.35">
      <c r="A906" s="10">
        <v>4304498.1000000006</v>
      </c>
    </row>
    <row r="907" spans="1:1" x14ac:dyDescent="0.35">
      <c r="A907" s="10">
        <v>1608008.72</v>
      </c>
    </row>
    <row r="908" spans="1:1" x14ac:dyDescent="0.35">
      <c r="A908" s="10">
        <v>596552.46</v>
      </c>
    </row>
    <row r="909" spans="1:1" x14ac:dyDescent="0.35">
      <c r="A909" s="10">
        <v>1013689.6</v>
      </c>
    </row>
    <row r="910" spans="1:1" x14ac:dyDescent="0.35">
      <c r="A910" s="10">
        <v>1408222.2</v>
      </c>
    </row>
    <row r="911" spans="1:1" x14ac:dyDescent="0.35">
      <c r="A911" s="10">
        <v>3883497.4499999997</v>
      </c>
    </row>
    <row r="912" spans="1:1" x14ac:dyDescent="0.35">
      <c r="A912" s="10">
        <v>697445.91</v>
      </c>
    </row>
    <row r="913" spans="1:1" x14ac:dyDescent="0.35">
      <c r="A913" s="10">
        <v>540590.94000000006</v>
      </c>
    </row>
    <row r="914" spans="1:1" x14ac:dyDescent="0.35">
      <c r="A914" s="10">
        <v>388299.23000000004</v>
      </c>
    </row>
    <row r="915" spans="1:1" x14ac:dyDescent="0.35">
      <c r="A915" s="10">
        <v>2049119.73</v>
      </c>
    </row>
    <row r="916" spans="1:1" x14ac:dyDescent="0.35">
      <c r="A916" s="10">
        <v>685072.92</v>
      </c>
    </row>
    <row r="917" spans="1:1" x14ac:dyDescent="0.35">
      <c r="A917" s="10">
        <v>279756.79999999999</v>
      </c>
    </row>
    <row r="918" spans="1:1" x14ac:dyDescent="0.35">
      <c r="A918" s="10">
        <v>868436.22</v>
      </c>
    </row>
    <row r="919" spans="1:1" x14ac:dyDescent="0.35">
      <c r="A919" s="10">
        <v>5579567.2800000003</v>
      </c>
    </row>
    <row r="920" spans="1:1" x14ac:dyDescent="0.35">
      <c r="A920" s="10">
        <v>545139.1</v>
      </c>
    </row>
    <row r="921" spans="1:1" x14ac:dyDescent="0.35">
      <c r="A921" s="10">
        <v>1500170.0999999999</v>
      </c>
    </row>
    <row r="922" spans="1:1" x14ac:dyDescent="0.35">
      <c r="A922" s="10">
        <v>741952.96</v>
      </c>
    </row>
    <row r="923" spans="1:1" x14ac:dyDescent="0.35">
      <c r="A923" s="10">
        <v>870593.06</v>
      </c>
    </row>
    <row r="924" spans="1:1" x14ac:dyDescent="0.35">
      <c r="A924" s="10">
        <v>30219.87</v>
      </c>
    </row>
    <row r="925" spans="1:1" x14ac:dyDescent="0.35">
      <c r="A925" s="10">
        <v>628207.79999999993</v>
      </c>
    </row>
    <row r="926" spans="1:1" x14ac:dyDescent="0.35">
      <c r="A926" s="10">
        <v>360667.45</v>
      </c>
    </row>
    <row r="927" spans="1:1" x14ac:dyDescent="0.35">
      <c r="A927" s="10">
        <v>597818.13</v>
      </c>
    </row>
    <row r="928" spans="1:1" x14ac:dyDescent="0.35">
      <c r="A928" s="10">
        <v>496019.37</v>
      </c>
    </row>
    <row r="929" spans="1:1" x14ac:dyDescent="0.35">
      <c r="A929" s="10">
        <v>1315968.3999999999</v>
      </c>
    </row>
    <row r="930" spans="1:1" x14ac:dyDescent="0.35">
      <c r="A930" s="10">
        <v>1433528.3</v>
      </c>
    </row>
    <row r="931" spans="1:1" x14ac:dyDescent="0.35">
      <c r="A931" s="10">
        <v>242931.69999999998</v>
      </c>
    </row>
    <row r="932" spans="1:1" x14ac:dyDescent="0.35">
      <c r="A932" s="10">
        <v>72322.920000000013</v>
      </c>
    </row>
    <row r="933" spans="1:1" x14ac:dyDescent="0.35">
      <c r="A933" s="10">
        <v>422732.05000000005</v>
      </c>
    </row>
    <row r="934" spans="1:1" x14ac:dyDescent="0.35">
      <c r="A934" s="10">
        <v>572627.19999999995</v>
      </c>
    </row>
    <row r="935" spans="1:1" x14ac:dyDescent="0.35">
      <c r="A935" s="10">
        <v>164756.13</v>
      </c>
    </row>
    <row r="936" spans="1:1" x14ac:dyDescent="0.35">
      <c r="A936" s="10">
        <v>16476.78</v>
      </c>
    </row>
    <row r="937" spans="1:1" x14ac:dyDescent="0.35">
      <c r="A937" s="10">
        <v>4209361.5999999996</v>
      </c>
    </row>
    <row r="938" spans="1:1" x14ac:dyDescent="0.35">
      <c r="A938" s="10">
        <v>467568.78</v>
      </c>
    </row>
    <row r="939" spans="1:1" x14ac:dyDescent="0.35">
      <c r="A939" s="10">
        <v>2637661.69</v>
      </c>
    </row>
    <row r="940" spans="1:1" x14ac:dyDescent="0.35">
      <c r="A940" s="10">
        <v>1342262.24</v>
      </c>
    </row>
    <row r="941" spans="1:1" x14ac:dyDescent="0.35">
      <c r="A941" s="10">
        <v>670110</v>
      </c>
    </row>
    <row r="942" spans="1:1" x14ac:dyDescent="0.35">
      <c r="A942" s="10">
        <v>443828.27999999997</v>
      </c>
    </row>
    <row r="943" spans="1:1" x14ac:dyDescent="0.35">
      <c r="A943" s="10">
        <v>1933746</v>
      </c>
    </row>
    <row r="944" spans="1:1" x14ac:dyDescent="0.35">
      <c r="A944" s="10">
        <v>58433.79</v>
      </c>
    </row>
    <row r="945" spans="1:1" x14ac:dyDescent="0.35">
      <c r="A945" s="10">
        <v>1355110.68</v>
      </c>
    </row>
    <row r="946" spans="1:1" x14ac:dyDescent="0.35">
      <c r="A946" s="10">
        <v>14498.82</v>
      </c>
    </row>
    <row r="947" spans="1:1" x14ac:dyDescent="0.35">
      <c r="A947" s="10">
        <v>704856</v>
      </c>
    </row>
    <row r="948" spans="1:1" x14ac:dyDescent="0.35">
      <c r="A948" s="10">
        <v>14019.460000000001</v>
      </c>
    </row>
    <row r="949" spans="1:1" x14ac:dyDescent="0.35">
      <c r="A949" s="10">
        <v>318009.90000000002</v>
      </c>
    </row>
    <row r="950" spans="1:1" x14ac:dyDescent="0.35">
      <c r="A950" s="10">
        <v>357678.10000000003</v>
      </c>
    </row>
    <row r="951" spans="1:1" x14ac:dyDescent="0.35">
      <c r="A951" s="10">
        <v>1502067.52</v>
      </c>
    </row>
    <row r="952" spans="1:1" x14ac:dyDescent="0.35">
      <c r="A952" s="10">
        <v>317055.48</v>
      </c>
    </row>
    <row r="953" spans="1:1" x14ac:dyDescent="0.35">
      <c r="A953" s="10">
        <v>687185.84000000008</v>
      </c>
    </row>
    <row r="954" spans="1:1" x14ac:dyDescent="0.35">
      <c r="A954" s="10">
        <v>2883585.05</v>
      </c>
    </row>
    <row r="955" spans="1:1" x14ac:dyDescent="0.35">
      <c r="A955" s="10">
        <v>244577.3</v>
      </c>
    </row>
    <row r="956" spans="1:1" x14ac:dyDescent="0.35">
      <c r="A956" s="10">
        <v>610768.29</v>
      </c>
    </row>
    <row r="957" spans="1:1" x14ac:dyDescent="0.35">
      <c r="A957" s="10">
        <v>2433171.0699999998</v>
      </c>
    </row>
    <row r="958" spans="1:1" x14ac:dyDescent="0.35">
      <c r="A958" s="10">
        <v>786597.44000000006</v>
      </c>
    </row>
    <row r="959" spans="1:1" x14ac:dyDescent="0.35">
      <c r="A959" s="10">
        <v>3356821.6</v>
      </c>
    </row>
    <row r="960" spans="1:1" x14ac:dyDescent="0.35">
      <c r="A960" s="10">
        <v>254353.06</v>
      </c>
    </row>
    <row r="961" spans="1:1" x14ac:dyDescent="0.35">
      <c r="A961" s="10">
        <v>1188572.8999999999</v>
      </c>
    </row>
    <row r="962" spans="1:1" x14ac:dyDescent="0.35">
      <c r="A962" s="10">
        <v>976163.79</v>
      </c>
    </row>
    <row r="963" spans="1:1" x14ac:dyDescent="0.35">
      <c r="A963" s="10">
        <v>280134.95999999996</v>
      </c>
    </row>
    <row r="964" spans="1:1" x14ac:dyDescent="0.35">
      <c r="A964" s="10">
        <v>6618546.0800000001</v>
      </c>
    </row>
    <row r="965" spans="1:1" x14ac:dyDescent="0.35">
      <c r="A965" s="10">
        <v>906477.78</v>
      </c>
    </row>
    <row r="966" spans="1:1" x14ac:dyDescent="0.35">
      <c r="A966" s="10">
        <v>276587.68</v>
      </c>
    </row>
    <row r="967" spans="1:1" x14ac:dyDescent="0.35">
      <c r="A967" s="10">
        <v>2387112</v>
      </c>
    </row>
    <row r="968" spans="1:1" x14ac:dyDescent="0.35">
      <c r="A968" s="10">
        <v>357962.80000000005</v>
      </c>
    </row>
    <row r="969" spans="1:1" x14ac:dyDescent="0.35">
      <c r="A969" s="10">
        <v>559699.98</v>
      </c>
    </row>
    <row r="970" spans="1:1" x14ac:dyDescent="0.35">
      <c r="A970" s="10">
        <v>2451380.4</v>
      </c>
    </row>
    <row r="971" spans="1:1" x14ac:dyDescent="0.35">
      <c r="A971" s="10">
        <v>602840.48</v>
      </c>
    </row>
    <row r="972" spans="1:1" x14ac:dyDescent="0.35">
      <c r="A972" s="10">
        <v>92217.72</v>
      </c>
    </row>
    <row r="973" spans="1:1" x14ac:dyDescent="0.35">
      <c r="A973" s="10">
        <v>2668231.6</v>
      </c>
    </row>
    <row r="974" spans="1:1" x14ac:dyDescent="0.35">
      <c r="A974" s="10">
        <v>4035682.53</v>
      </c>
    </row>
    <row r="975" spans="1:1" x14ac:dyDescent="0.35">
      <c r="A975" s="10">
        <v>81946.150000000009</v>
      </c>
    </row>
    <row r="976" spans="1:1" x14ac:dyDescent="0.35">
      <c r="A976" s="10">
        <v>341168.88</v>
      </c>
    </row>
    <row r="977" spans="1:1" x14ac:dyDescent="0.35">
      <c r="A977" s="10">
        <v>5641432.2300000004</v>
      </c>
    </row>
    <row r="978" spans="1:1" x14ac:dyDescent="0.35">
      <c r="A978" s="10">
        <v>6107319.5300000003</v>
      </c>
    </row>
    <row r="979" spans="1:1" x14ac:dyDescent="0.35">
      <c r="A979" s="10">
        <v>35677.919999999998</v>
      </c>
    </row>
    <row r="980" spans="1:1" x14ac:dyDescent="0.35">
      <c r="A980" s="10">
        <v>2530335.36</v>
      </c>
    </row>
    <row r="981" spans="1:1" x14ac:dyDescent="0.35">
      <c r="A981" s="10">
        <v>2795443.14</v>
      </c>
    </row>
    <row r="982" spans="1:1" x14ac:dyDescent="0.35">
      <c r="A982" s="10">
        <v>33893.199999999997</v>
      </c>
    </row>
    <row r="983" spans="1:1" x14ac:dyDescent="0.35">
      <c r="A983" s="10">
        <v>426148.45</v>
      </c>
    </row>
    <row r="984" spans="1:1" x14ac:dyDescent="0.35">
      <c r="A984" s="10">
        <v>390323.7</v>
      </c>
    </row>
    <row r="985" spans="1:1" x14ac:dyDescent="0.35">
      <c r="A985" s="10">
        <v>3454017.8400000003</v>
      </c>
    </row>
    <row r="986" spans="1:1" x14ac:dyDescent="0.35">
      <c r="A986" s="10">
        <v>700952.52</v>
      </c>
    </row>
    <row r="987" spans="1:1" x14ac:dyDescent="0.35">
      <c r="A987" s="10">
        <v>1096934.8</v>
      </c>
    </row>
    <row r="988" spans="1:1" x14ac:dyDescent="0.35">
      <c r="A988" s="10">
        <v>271997.92</v>
      </c>
    </row>
    <row r="989" spans="1:1" x14ac:dyDescent="0.35">
      <c r="A989" s="10">
        <v>4218.8999999999996</v>
      </c>
    </row>
    <row r="990" spans="1:1" x14ac:dyDescent="0.35">
      <c r="A990" s="10">
        <v>1167004.5</v>
      </c>
    </row>
    <row r="991" spans="1:1" x14ac:dyDescent="0.35">
      <c r="A991" s="10">
        <v>4250021.2</v>
      </c>
    </row>
    <row r="992" spans="1:1" x14ac:dyDescent="0.35">
      <c r="A992" s="10">
        <v>1222928.7000000002</v>
      </c>
    </row>
    <row r="993" spans="1:1" x14ac:dyDescent="0.35">
      <c r="A993" s="10">
        <v>287357.2</v>
      </c>
    </row>
    <row r="994" spans="1:1" x14ac:dyDescent="0.35">
      <c r="A994" s="10">
        <v>41742.42</v>
      </c>
    </row>
    <row r="995" spans="1:1" x14ac:dyDescent="0.35">
      <c r="A995" s="10">
        <v>2592596</v>
      </c>
    </row>
    <row r="996" spans="1:1" x14ac:dyDescent="0.35">
      <c r="A996" s="10">
        <v>1072.95</v>
      </c>
    </row>
    <row r="997" spans="1:1" x14ac:dyDescent="0.35">
      <c r="A997" s="10">
        <v>415424.75</v>
      </c>
    </row>
    <row r="998" spans="1:1" x14ac:dyDescent="0.35">
      <c r="A998" s="10">
        <v>49364.920000000006</v>
      </c>
    </row>
    <row r="999" spans="1:1" x14ac:dyDescent="0.35">
      <c r="A999" s="10">
        <v>60150.51</v>
      </c>
    </row>
    <row r="1000" spans="1:1" x14ac:dyDescent="0.35">
      <c r="A1000" s="10">
        <v>632108.18000000005</v>
      </c>
    </row>
    <row r="1001" spans="1:1" x14ac:dyDescent="0.35">
      <c r="A1001" s="10">
        <v>373737.6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1099-3311-49BF-B96F-2BFB6B1968E3}">
  <sheetPr>
    <outlinePr summaryBelow="0"/>
  </sheetPr>
  <dimension ref="B1:G12"/>
  <sheetViews>
    <sheetView showGridLines="0" topLeftCell="A3" workbookViewId="0">
      <selection activeCell="I13" sqref="I13"/>
    </sheetView>
  </sheetViews>
  <sheetFormatPr baseColWidth="10" defaultRowHeight="14.5" outlineLevelRow="1" outlineLevelCol="1" x14ac:dyDescent="0.35"/>
  <cols>
    <col min="3" max="3" width="4.90625" bestFit="1" customWidth="1"/>
    <col min="4" max="7" width="14.08984375" bestFit="1" customWidth="1" outlineLevel="1"/>
  </cols>
  <sheetData>
    <row r="1" spans="2:7" ht="15" thickBot="1" x14ac:dyDescent="0.4"/>
    <row r="2" spans="2:7" ht="16" x14ac:dyDescent="0.4">
      <c r="B2" s="21" t="s">
        <v>1226</v>
      </c>
      <c r="C2" s="21"/>
      <c r="D2" s="26"/>
      <c r="E2" s="26"/>
      <c r="F2" s="26"/>
      <c r="G2" s="26"/>
    </row>
    <row r="3" spans="2:7" ht="16" collapsed="1" x14ac:dyDescent="0.4">
      <c r="B3" s="20"/>
      <c r="C3" s="20"/>
      <c r="D3" s="27" t="s">
        <v>1228</v>
      </c>
      <c r="E3" s="27" t="s">
        <v>1222</v>
      </c>
      <c r="F3" s="27" t="s">
        <v>1224</v>
      </c>
      <c r="G3" s="27" t="s">
        <v>1225</v>
      </c>
    </row>
    <row r="4" spans="2:7" ht="21" hidden="1" outlineLevel="1" x14ac:dyDescent="0.35">
      <c r="B4" s="23"/>
      <c r="C4" s="23"/>
      <c r="E4" s="29" t="s">
        <v>1223</v>
      </c>
      <c r="F4" s="29" t="s">
        <v>1223</v>
      </c>
      <c r="G4" s="29" t="s">
        <v>1223</v>
      </c>
    </row>
    <row r="5" spans="2:7" x14ac:dyDescent="0.35">
      <c r="B5" s="24" t="s">
        <v>1227</v>
      </c>
      <c r="C5" s="24"/>
      <c r="D5" s="22"/>
      <c r="E5" s="22"/>
      <c r="F5" s="22"/>
      <c r="G5" s="22"/>
    </row>
    <row r="6" spans="2:7" outlineLevel="1" x14ac:dyDescent="0.35">
      <c r="B6" s="23"/>
      <c r="C6" s="23" t="s">
        <v>1219</v>
      </c>
      <c r="D6" s="18">
        <v>1100000</v>
      </c>
      <c r="E6" s="28">
        <v>900000</v>
      </c>
      <c r="F6" s="28">
        <v>1000000</v>
      </c>
      <c r="G6" s="28">
        <v>1200000</v>
      </c>
    </row>
    <row r="7" spans="2:7" outlineLevel="1" x14ac:dyDescent="0.35">
      <c r="B7" s="23"/>
      <c r="C7" s="23" t="s">
        <v>1220</v>
      </c>
      <c r="D7" s="18">
        <v>600000</v>
      </c>
      <c r="E7" s="28">
        <v>650000</v>
      </c>
      <c r="F7" s="28">
        <v>600000</v>
      </c>
      <c r="G7" s="28">
        <v>550000</v>
      </c>
    </row>
    <row r="8" spans="2:7" x14ac:dyDescent="0.35">
      <c r="B8" s="24" t="s">
        <v>1229</v>
      </c>
      <c r="C8" s="24"/>
      <c r="D8" s="22"/>
      <c r="E8" s="22"/>
      <c r="F8" s="22"/>
      <c r="G8" s="22"/>
    </row>
    <row r="9" spans="2:7" ht="15" outlineLevel="1" thickBot="1" x14ac:dyDescent="0.4">
      <c r="B9" s="25"/>
      <c r="C9" s="25" t="s">
        <v>1221</v>
      </c>
      <c r="D9" s="19">
        <v>500000</v>
      </c>
      <c r="E9" s="19">
        <v>250000</v>
      </c>
      <c r="F9" s="19">
        <v>400000</v>
      </c>
      <c r="G9" s="19">
        <v>650000</v>
      </c>
    </row>
    <row r="10" spans="2:7" x14ac:dyDescent="0.35">
      <c r="B10" t="s">
        <v>1230</v>
      </c>
    </row>
    <row r="11" spans="2:7" x14ac:dyDescent="0.35">
      <c r="B11" t="s">
        <v>1231</v>
      </c>
    </row>
    <row r="12" spans="2:7" x14ac:dyDescent="0.35">
      <c r="B12" t="s">
        <v>1232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08B8-9E22-4C37-88B7-D48F7C7D2538}">
  <dimension ref="A1:B3"/>
  <sheetViews>
    <sheetView workbookViewId="0">
      <selection activeCell="B3" sqref="B3"/>
    </sheetView>
  </sheetViews>
  <sheetFormatPr baseColWidth="10" defaultRowHeight="14.5" x14ac:dyDescent="0.35"/>
  <cols>
    <col min="1" max="1" width="14.81640625" customWidth="1"/>
    <col min="2" max="2" width="14.08984375" bestFit="1" customWidth="1"/>
  </cols>
  <sheetData>
    <row r="1" spans="1:2" x14ac:dyDescent="0.35">
      <c r="A1" s="16" t="s">
        <v>1216</v>
      </c>
      <c r="B1" s="17">
        <v>1100000</v>
      </c>
    </row>
    <row r="2" spans="1:2" x14ac:dyDescent="0.35">
      <c r="A2" s="16" t="s">
        <v>1217</v>
      </c>
      <c r="B2" s="17">
        <v>600000</v>
      </c>
    </row>
    <row r="3" spans="1:2" x14ac:dyDescent="0.35">
      <c r="A3" s="16" t="s">
        <v>1218</v>
      </c>
      <c r="B3" s="17">
        <f>B1-B2</f>
        <v>500000</v>
      </c>
    </row>
  </sheetData>
  <scenarios current="0" sqref="B3">
    <scenario name="Pesimista" count="2" user="Aylen Seubart" comment="Creado por Aylen Seubart el 27/10/2026">
      <inputCells r="B1" val="900000" numFmtId="44"/>
      <inputCells r="B2" val="650000" numFmtId="44"/>
    </scenario>
    <scenario name="Base" count="2" user="Aylen Seubart" comment="Creado por Aylen Seubart el 27/10/2026">
      <inputCells r="B1" val="1000000" numFmtId="44"/>
      <inputCells r="B2" val="600000" numFmtId="44"/>
    </scenario>
    <scenario name="Optimista" count="2" user="Aylen Seubart" comment="Creado por Aylen Seubart el 27/10/2026">
      <inputCells r="B1" val="1200000" numFmtId="44"/>
      <inputCells r="B2" val="550000" numFmtId="44"/>
    </scenario>
  </scenario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0B675370-5062-42A3-BF6D-5CD5304F0E82}">
  <ds:schemaRefs/>
</ds:datastoreItem>
</file>

<file path=customXml/itemProps2.xml><?xml version="1.0" encoding="utf-8"?>
<ds:datastoreItem xmlns:ds="http://schemas.openxmlformats.org/officeDocument/2006/customXml" ds:itemID="{BF50DDA9-75C3-4E49-9DD0-E4E9902C107F}">
  <ds:schemaRefs/>
</ds:datastoreItem>
</file>

<file path=customXml/itemProps3.xml><?xml version="1.0" encoding="utf-8"?>
<ds:datastoreItem xmlns:ds="http://schemas.openxmlformats.org/officeDocument/2006/customXml" ds:itemID="{DDE6DAD0-5CD6-4EE1-B361-7703D1E56790}">
  <ds:schemaRefs/>
</ds:datastoreItem>
</file>

<file path=customXml/itemProps4.xml><?xml version="1.0" encoding="utf-8"?>
<ds:datastoreItem xmlns:ds="http://schemas.openxmlformats.org/officeDocument/2006/customXml" ds:itemID="{DC6023E6-C6D1-4027-B6B1-C4C3BA495AB0}">
  <ds:schemaRefs/>
</ds:datastoreItem>
</file>

<file path=customXml/itemProps5.xml><?xml version="1.0" encoding="utf-8"?>
<ds:datastoreItem xmlns:ds="http://schemas.openxmlformats.org/officeDocument/2006/customXml" ds:itemID="{C02E7146-A2D8-4A9F-BD7B-5BA28DE5C725}">
  <ds:schemaRefs/>
</ds:datastoreItem>
</file>

<file path=customXml/itemProps6.xml><?xml version="1.0" encoding="utf-8"?>
<ds:datastoreItem xmlns:ds="http://schemas.openxmlformats.org/officeDocument/2006/customXml" ds:itemID="{7D6824D5-B379-412C-93E7-86615CFA20DB}">
  <ds:schemaRefs/>
</ds:datastoreItem>
</file>

<file path=customXml/itemProps7.xml><?xml version="1.0" encoding="utf-8"?>
<ds:datastoreItem xmlns:ds="http://schemas.openxmlformats.org/officeDocument/2006/customXml" ds:itemID="{F6487D13-4E00-4D0C-8A28-4BF03CE89931}">
  <ds:schemaRefs/>
</ds:datastoreItem>
</file>

<file path=customXml/itemProps8.xml><?xml version="1.0" encoding="utf-8"?>
<ds:datastoreItem xmlns:ds="http://schemas.openxmlformats.org/officeDocument/2006/customXml" ds:itemID="{2D378514-AE9D-4209-A988-AF2FB6E928C6}">
  <ds:schemaRefs/>
</ds:datastoreItem>
</file>

<file path=customXml/itemProps9.xml><?xml version="1.0" encoding="utf-8"?>
<ds:datastoreItem xmlns:ds="http://schemas.openxmlformats.org/officeDocument/2006/customXml" ds:itemID="{698594B3-6919-4F56-95EB-17BE91DDC8B2}">
  <ds:schemaRefs/>
</ds:datastoreItem>
</file>

<file path=customXml/itemProps10.xml><?xml version="1.0" encoding="utf-8"?>
<ds:datastoreItem xmlns:ds="http://schemas.openxmlformats.org/officeDocument/2006/customXml" ds:itemID="{4EF6B9C2-FFD5-4A8E-B40A-A7C1AC13B0DD}">
  <ds:schemaRefs/>
</ds:datastoreItem>
</file>

<file path=customXml/itemProps11.xml><?xml version="1.0" encoding="utf-8"?>
<ds:datastoreItem xmlns:ds="http://schemas.openxmlformats.org/officeDocument/2006/customXml" ds:itemID="{DB3DEAA8-E936-4A94-8E23-5ED72B9B5FD8}">
  <ds:schemaRefs/>
</ds:datastoreItem>
</file>

<file path=customXml/itemProps12.xml><?xml version="1.0" encoding="utf-8"?>
<ds:datastoreItem xmlns:ds="http://schemas.openxmlformats.org/officeDocument/2006/customXml" ds:itemID="{BF0FE9DA-C38D-40EA-A8C1-1CC9421EFF21}">
  <ds:schemaRefs/>
</ds:datastoreItem>
</file>

<file path=customXml/itemProps13.xml><?xml version="1.0" encoding="utf-8"?>
<ds:datastoreItem xmlns:ds="http://schemas.openxmlformats.org/officeDocument/2006/customXml" ds:itemID="{0B90719D-19E6-489C-8465-C32756C97E6A}">
  <ds:schemaRefs/>
</ds:datastoreItem>
</file>

<file path=customXml/itemProps14.xml><?xml version="1.0" encoding="utf-8"?>
<ds:datastoreItem xmlns:ds="http://schemas.openxmlformats.org/officeDocument/2006/customXml" ds:itemID="{6E4BD45D-BABC-4A31-9479-750AB5239BB3}">
  <ds:schemaRefs/>
</ds:datastoreItem>
</file>

<file path=customXml/itemProps15.xml><?xml version="1.0" encoding="utf-8"?>
<ds:datastoreItem xmlns:ds="http://schemas.openxmlformats.org/officeDocument/2006/customXml" ds:itemID="{2B90A543-352A-401B-82EB-DF17ABA33AE1}">
  <ds:schemaRefs/>
</ds:datastoreItem>
</file>

<file path=customXml/itemProps16.xml><?xml version="1.0" encoding="utf-8"?>
<ds:datastoreItem xmlns:ds="http://schemas.openxmlformats.org/officeDocument/2006/customXml" ds:itemID="{F835A3DF-A833-4F78-A5CF-A6EF510D12C9}">
  <ds:schemaRefs/>
</ds:datastoreItem>
</file>

<file path=customXml/itemProps17.xml><?xml version="1.0" encoding="utf-8"?>
<ds:datastoreItem xmlns:ds="http://schemas.openxmlformats.org/officeDocument/2006/customXml" ds:itemID="{6F654F27-5B50-49D8-8AB7-4EE79A36F23B}">
  <ds:schemaRefs/>
</ds:datastoreItem>
</file>

<file path=customXml/itemProps18.xml><?xml version="1.0" encoding="utf-8"?>
<ds:datastoreItem xmlns:ds="http://schemas.openxmlformats.org/officeDocument/2006/customXml" ds:itemID="{FA98B616-66F5-4F4F-B3B0-BEBE2F880B10}">
  <ds:schemaRefs/>
</ds:datastoreItem>
</file>

<file path=customXml/itemProps19.xml><?xml version="1.0" encoding="utf-8"?>
<ds:datastoreItem xmlns:ds="http://schemas.openxmlformats.org/officeDocument/2006/customXml" ds:itemID="{0479B000-DEFD-4C67-B9B5-7AF26A5D3357}">
  <ds:schemaRefs/>
</ds:datastoreItem>
</file>

<file path=customXml/itemProps20.xml><?xml version="1.0" encoding="utf-8"?>
<ds:datastoreItem xmlns:ds="http://schemas.openxmlformats.org/officeDocument/2006/customXml" ds:itemID="{97DD707D-E7CA-4AF0-9560-23A20CD56442}">
  <ds:schemaRefs/>
</ds:datastoreItem>
</file>

<file path=customXml/itemProps21.xml><?xml version="1.0" encoding="utf-8"?>
<ds:datastoreItem xmlns:ds="http://schemas.openxmlformats.org/officeDocument/2006/customXml" ds:itemID="{3274E669-ABAA-4034-8E30-2823175F1A89}">
  <ds:schemaRefs/>
</ds:datastoreItem>
</file>

<file path=customXml/itemProps22.xml><?xml version="1.0" encoding="utf-8"?>
<ds:datastoreItem xmlns:ds="http://schemas.openxmlformats.org/officeDocument/2006/customXml" ds:itemID="{A5FF1206-4B42-4B89-AEFD-D0702B496BDB}">
  <ds:schemaRefs/>
</ds:datastoreItem>
</file>

<file path=customXml/itemProps23.xml><?xml version="1.0" encoding="utf-8"?>
<ds:datastoreItem xmlns:ds="http://schemas.openxmlformats.org/officeDocument/2006/customXml" ds:itemID="{34E37748-8ADF-48B4-8DC1-586ED02FF411}">
  <ds:schemaRefs/>
</ds:datastoreItem>
</file>

<file path=customXml/itemProps24.xml><?xml version="1.0" encoding="utf-8"?>
<ds:datastoreItem xmlns:ds="http://schemas.openxmlformats.org/officeDocument/2006/customXml" ds:itemID="{1B5F22B3-9A76-43F8-8013-967E9DA034A3}">
  <ds:schemaRefs/>
</ds:datastoreItem>
</file>

<file path=customXml/itemProps25.xml><?xml version="1.0" encoding="utf-8"?>
<ds:datastoreItem xmlns:ds="http://schemas.openxmlformats.org/officeDocument/2006/customXml" ds:itemID="{5BC6BFE5-196A-4EC4-B10F-B00D7352C08E}">
  <ds:schemaRefs>
    <ds:schemaRef ds:uri="http://schemas.microsoft.com/DataMashup"/>
  </ds:schemaRefs>
</ds:datastoreItem>
</file>

<file path=customXml/itemProps26.xml><?xml version="1.0" encoding="utf-8"?>
<ds:datastoreItem xmlns:ds="http://schemas.openxmlformats.org/officeDocument/2006/customXml" ds:itemID="{61FD8ABE-8FA1-4B17-AFDF-031102E439BE}">
  <ds:schemaRefs/>
</ds:datastoreItem>
</file>

<file path=customXml/itemProps27.xml><?xml version="1.0" encoding="utf-8"?>
<ds:datastoreItem xmlns:ds="http://schemas.openxmlformats.org/officeDocument/2006/customXml" ds:itemID="{126FFA9D-A834-4F35-849E-2D72A7150ACB}">
  <ds:schemaRefs/>
</ds:datastoreItem>
</file>

<file path=customXml/itemProps28.xml><?xml version="1.0" encoding="utf-8"?>
<ds:datastoreItem xmlns:ds="http://schemas.openxmlformats.org/officeDocument/2006/customXml" ds:itemID="{D9DEC63F-E07A-4C96-AD2E-5748ABCECE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Analisis de Rentabilidad</vt:lpstr>
      <vt:lpstr>Analisis de Ventas</vt:lpstr>
      <vt:lpstr>Hechos</vt:lpstr>
      <vt:lpstr>Dim_Clientes</vt:lpstr>
      <vt:lpstr>Dim_Productos</vt:lpstr>
      <vt:lpstr>Auxiliar Dashboard</vt:lpstr>
      <vt:lpstr>Aux_Pais</vt:lpstr>
      <vt:lpstr>Aux_KPI</vt:lpstr>
      <vt:lpstr>Hoja7</vt:lpstr>
      <vt:lpstr>Aux_Mensual</vt:lpstr>
      <vt:lpstr>Aux_Producto</vt:lpstr>
      <vt:lpstr>Dashboard Final</vt:lpstr>
      <vt:lpstr>Registro de Prompts IA</vt:lpstr>
      <vt:lpstr>Resultado Estadístico</vt:lpstr>
      <vt:lpstr>Estadística Descriptiva</vt:lpstr>
      <vt:lpstr>Resumen de Escenarios</vt:lpstr>
      <vt:lpstr>Simulacion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Aylen Seubart</dc:creator>
  <cp:lastModifiedBy>Aylen Seubart</cp:lastModifiedBy>
  <dcterms:created xsi:type="dcterms:W3CDTF">2026-10-27T12:02:33Z</dcterms:created>
  <dcterms:modified xsi:type="dcterms:W3CDTF">2026-10-28T22:30:09Z</dcterms:modified>
</cp:coreProperties>
</file>